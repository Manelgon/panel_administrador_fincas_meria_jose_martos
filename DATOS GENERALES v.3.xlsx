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incosol-my.sharepoint.com/personal/roberto_serincosol_com/Documents/020 EMPLEADOS/DANIEL/DATOS GENERALES/"/>
    </mc:Choice>
  </mc:AlternateContent>
  <xr:revisionPtr revIDLastSave="494" documentId="13_ncr:1_{549A35FB-A870-4A3B-8528-FD3B2200C319}" xr6:coauthVersionLast="47" xr6:coauthVersionMax="47" xr10:uidLastSave="{2893B7C1-9F29-4996-AE9B-24A954EC9192}"/>
  <bookViews>
    <workbookView xWindow="-120" yWindow="-120" windowWidth="29040" windowHeight="15720" firstSheet="1" activeTab="4" xr2:uid="{DE6C2C5D-3974-412C-ADAF-A86A81ECFC09}"/>
  </bookViews>
  <sheets>
    <sheet name="COMUNIDADES" sheetId="1" state="hidden" r:id="rId1"/>
    <sheet name=" COMUNIDADES 1" sheetId="5" r:id="rId2"/>
    <sheet name="REMESAS" sheetId="6" r:id="rId3"/>
    <sheet name="Hoja4" sheetId="7" r:id="rId4"/>
    <sheet name="Seg. Juntas" sheetId="2" r:id="rId5"/>
    <sheet name="E. C. " sheetId="3" r:id="rId6"/>
    <sheet name="Hoja1" sheetId="4" r:id="rId7"/>
  </sheets>
  <definedNames>
    <definedName name="posFin" localSheetId="4">'Seg. Juntas'!$R$239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52" i="4" s="1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L21" i="4"/>
  <c r="D22" i="4"/>
  <c r="D23" i="4"/>
  <c r="D24" i="4"/>
  <c r="D25" i="4"/>
  <c r="D26" i="4"/>
  <c r="L26" i="4"/>
  <c r="D27" i="4"/>
  <c r="D28" i="4"/>
  <c r="D29" i="4"/>
  <c r="D30" i="4"/>
  <c r="D31" i="4"/>
  <c r="D32" i="4"/>
  <c r="D33" i="4"/>
  <c r="H33" i="4"/>
  <c r="D34" i="4"/>
  <c r="D35" i="4"/>
  <c r="D36" i="4"/>
  <c r="D37" i="4"/>
  <c r="D38" i="4"/>
  <c r="I38" i="4"/>
  <c r="D39" i="4"/>
  <c r="D40" i="4"/>
  <c r="H40" i="4"/>
  <c r="H41" i="4" s="1"/>
  <c r="I40" i="4"/>
  <c r="D41" i="4"/>
  <c r="D42" i="4"/>
  <c r="D43" i="4"/>
  <c r="D44" i="4"/>
  <c r="D45" i="4"/>
  <c r="D46" i="4"/>
  <c r="D47" i="4"/>
  <c r="D48" i="4"/>
  <c r="D49" i="4"/>
  <c r="D50" i="4"/>
  <c r="D51" i="4"/>
  <c r="I41" i="4" l="1"/>
  <c r="I42" i="4" s="1"/>
  <c r="I47" i="4" l="1"/>
  <c r="J42" i="4"/>
  <c r="J44" i="4" s="1"/>
</calcChain>
</file>

<file path=xl/sharedStrings.xml><?xml version="1.0" encoding="utf-8"?>
<sst xmlns="http://schemas.openxmlformats.org/spreadsheetml/2006/main" count="5589" uniqueCount="505">
  <si>
    <t>Nº</t>
  </si>
  <si>
    <t>NOMBRE</t>
  </si>
  <si>
    <t>NÚMERO DE CUENTA</t>
  </si>
  <si>
    <t xml:space="preserve">CIF: </t>
  </si>
  <si>
    <t>MES JGO</t>
  </si>
  <si>
    <t>FECHA VENCIMIENTO SEGURO</t>
  </si>
  <si>
    <t>COMPAÑÍA</t>
  </si>
  <si>
    <t>PÓLIZA EMASA</t>
  </si>
  <si>
    <t>CERTF.</t>
  </si>
  <si>
    <t>BROKALIA</t>
  </si>
  <si>
    <t>SERINCOSOL</t>
  </si>
  <si>
    <t>04204668-S</t>
  </si>
  <si>
    <t>ES37 0081 7442 0600 0119 3630</t>
  </si>
  <si>
    <t>02 </t>
  </si>
  <si>
    <t>Carlinda 4, Blq. C </t>
  </si>
  <si>
    <t>H29584752 </t>
  </si>
  <si>
    <t>ES44 0081 7442 0200 0121 2227 </t>
  </si>
  <si>
    <t>DICIEMBRE </t>
  </si>
  <si>
    <t>19 febrero </t>
  </si>
  <si>
    <t>CASER </t>
  </si>
  <si>
    <t>559881 </t>
  </si>
  <si>
    <t>SI </t>
  </si>
  <si>
    <t>03 </t>
  </si>
  <si>
    <t>E.U.C.C. Las Morillas II </t>
  </si>
  <si>
    <t>G29750213 </t>
  </si>
  <si>
    <t>ES82 3058 0768 1727 2002 3845 </t>
  </si>
  <si>
    <t>MAYO </t>
  </si>
  <si>
    <t> 11 agosto </t>
  </si>
  <si>
    <t>GENERALI </t>
  </si>
  <si>
    <t>04 </t>
  </si>
  <si>
    <t>Tiscar 5 </t>
  </si>
  <si>
    <t>H29696614 </t>
  </si>
  <si>
    <t>ES85 2103 0235 0600 3000 8220 </t>
  </si>
  <si>
    <t> 1 junio  </t>
  </si>
  <si>
    <t>ALLIANZ </t>
  </si>
  <si>
    <t>2169738 </t>
  </si>
  <si>
    <t>06 </t>
  </si>
  <si>
    <t>Parque Carlinda A5 </t>
  </si>
  <si>
    <t>H93209260 </t>
  </si>
  <si>
    <t>ES79 0081 7442 0200 0121 3731 </t>
  </si>
  <si>
    <t>OCTUBRE </t>
  </si>
  <si>
    <t>seguro con mancomunidad </t>
  </si>
  <si>
    <t>985155 </t>
  </si>
  <si>
    <t>07 </t>
  </si>
  <si>
    <t>Edificio Gala </t>
  </si>
  <si>
    <t>H92981950 </t>
  </si>
  <si>
    <t>ES71 0081 7442 0300 0121 3632 </t>
  </si>
  <si>
    <t>FEBRERO </t>
  </si>
  <si>
    <t> 10 enero  </t>
  </si>
  <si>
    <t>OCASO </t>
  </si>
  <si>
    <t>08 </t>
  </si>
  <si>
    <t>Trasteros Pasaje Calimero </t>
  </si>
  <si>
    <t>H93417335 </t>
  </si>
  <si>
    <t>ES03 0081 7442 0400 0121 7426 </t>
  </si>
  <si>
    <t>ABRIL </t>
  </si>
  <si>
    <t>No tiene seguro, incluido en cdad. 04 </t>
  </si>
  <si>
    <t>09 </t>
  </si>
  <si>
    <t>Acanto 3 </t>
  </si>
  <si>
    <t>H92854744 </t>
  </si>
  <si>
    <t>ES38 2103 3056 8800 3000 4260 </t>
  </si>
  <si>
    <t> 16 diciembre  </t>
  </si>
  <si>
    <t>REALE </t>
  </si>
  <si>
    <t>10 </t>
  </si>
  <si>
    <t>José Ortega Luque 3 </t>
  </si>
  <si>
    <t>H92804855 </t>
  </si>
  <si>
    <t>ES52 3058 0847 4127 2001 7804 </t>
  </si>
  <si>
    <t>19 octubre  </t>
  </si>
  <si>
    <t>3691218 </t>
  </si>
  <si>
    <t>11 </t>
  </si>
  <si>
    <t>Cervantes 8 </t>
  </si>
  <si>
    <t>H29232170 </t>
  </si>
  <si>
    <t>ES75 0081 7446 9000 0116 6126 </t>
  </si>
  <si>
    <t>ENERO </t>
  </si>
  <si>
    <t>21 diciembre  </t>
  </si>
  <si>
    <t>Generali </t>
  </si>
  <si>
    <t>749176 </t>
  </si>
  <si>
    <t>12 </t>
  </si>
  <si>
    <t>San Alberto 15 </t>
  </si>
  <si>
    <t>H29494945 </t>
  </si>
  <si>
    <t>ES38 0081 7442 0900 0123 9831 </t>
  </si>
  <si>
    <t> 13 junio  </t>
  </si>
  <si>
    <t>13 </t>
  </si>
  <si>
    <t>Trasteros Calima </t>
  </si>
  <si>
    <t>H93511293 </t>
  </si>
  <si>
    <t>ES50 0081 7442 0600 0126 9735 </t>
  </si>
  <si>
    <t>No tiene seguro propio cdads 012 y 018 </t>
  </si>
  <si>
    <t>14 </t>
  </si>
  <si>
    <t>Jardines De La Torre </t>
  </si>
  <si>
    <t>H93514677 </t>
  </si>
  <si>
    <t>ES37 0081 7442 0100 0125 6828 </t>
  </si>
  <si>
    <t>NOVIEMBRE </t>
  </si>
  <si>
    <t>22 noviembre  </t>
  </si>
  <si>
    <t>15 </t>
  </si>
  <si>
    <t>Conjunto Airesol </t>
  </si>
  <si>
    <t>H93151868 </t>
  </si>
  <si>
    <t>ES96 0081 7442 0400 0131 6438 </t>
  </si>
  <si>
    <t> 2 enero  </t>
  </si>
  <si>
    <t>LIBERTY </t>
  </si>
  <si>
    <t>16 </t>
  </si>
  <si>
    <t>San Alberto 9 </t>
  </si>
  <si>
    <t>H29475241 </t>
  </si>
  <si>
    <t>ES33 0081 7442 0700 0131 0538 </t>
  </si>
  <si>
    <t>30 septiembre  </t>
  </si>
  <si>
    <t>17 </t>
  </si>
  <si>
    <t>San Alberto 17 </t>
  </si>
  <si>
    <t>H92058718 </t>
  </si>
  <si>
    <t>ES07 2103 3059 1400 1002 2123 </t>
  </si>
  <si>
    <t> 12 diciembre </t>
  </si>
  <si>
    <t>18 </t>
  </si>
  <si>
    <t>San Alberto 13 </t>
  </si>
  <si>
    <t>H29464310 </t>
  </si>
  <si>
    <t>ES42 2103 3059 1400 1001 4800 </t>
  </si>
  <si>
    <t>JUNIO </t>
  </si>
  <si>
    <t> 14 marzo  </t>
  </si>
  <si>
    <t>19 </t>
  </si>
  <si>
    <t>C/ Yedra 16 </t>
  </si>
  <si>
    <t>E93701977 </t>
  </si>
  <si>
    <t>ES30 0081 7442 0900 0130 9233 </t>
  </si>
  <si>
    <t>No tiene seguro </t>
  </si>
  <si>
    <t>NO </t>
  </si>
  <si>
    <t>20 </t>
  </si>
  <si>
    <t>Edificio Eligia </t>
  </si>
  <si>
    <t>H29458189 </t>
  </si>
  <si>
    <t>ES20 3058 0810 0127 2001 2975 </t>
  </si>
  <si>
    <t>SEPTIEMBRE </t>
  </si>
  <si>
    <t>4 OCTUBRE </t>
  </si>
  <si>
    <t>FIATC </t>
  </si>
  <si>
    <t>613371 </t>
  </si>
  <si>
    <t>21 </t>
  </si>
  <si>
    <t>Aparcamientos Eligia </t>
  </si>
  <si>
    <t>H93487213 </t>
  </si>
  <si>
    <t>ES95 3058 0810 0327 2001 2982 </t>
  </si>
  <si>
    <t>22 </t>
  </si>
  <si>
    <t>José Canalejas 1 </t>
  </si>
  <si>
    <t>H29503125 </t>
  </si>
  <si>
    <t>ES42 2103 0239 9200 3001 3407 </t>
  </si>
  <si>
    <t>MARZO </t>
  </si>
  <si>
    <t>1 noviembre </t>
  </si>
  <si>
    <t>440205 </t>
  </si>
  <si>
    <t>24 </t>
  </si>
  <si>
    <t>Residencial La Encina </t>
  </si>
  <si>
    <t>H92805969 </t>
  </si>
  <si>
    <t>ES91 2103 3031 0100 3000 8916 </t>
  </si>
  <si>
    <t>1 enero  </t>
  </si>
  <si>
    <t>3029972 </t>
  </si>
  <si>
    <t>25 </t>
  </si>
  <si>
    <t>Urbanización Ruiseñor </t>
  </si>
  <si>
    <t>H02847242 </t>
  </si>
  <si>
    <t>ES56 3058 0851 4627 2001 8936 </t>
  </si>
  <si>
    <t>1 FEBRERO </t>
  </si>
  <si>
    <t>26 </t>
  </si>
  <si>
    <t>Eugenio Gross 43 </t>
  </si>
  <si>
    <t>H29462322 </t>
  </si>
  <si>
    <t>ES18 2103 0195 0600 3000 9389 </t>
  </si>
  <si>
    <t>2 JUNIO </t>
  </si>
  <si>
    <t>577073 </t>
  </si>
  <si>
    <t>27 </t>
  </si>
  <si>
    <t>Avda. del Atabal 3 </t>
  </si>
  <si>
    <t>H29238631 </t>
  </si>
  <si>
    <t>ES41 2103 0239 9300 3001 3764 </t>
  </si>
  <si>
    <t>25 ENERO </t>
  </si>
  <si>
    <t>28 </t>
  </si>
  <si>
    <t>Residencial los Tilos </t>
  </si>
  <si>
    <t>H93716009 </t>
  </si>
  <si>
    <t>ES77 0081 7438 0100 0123 2834 </t>
  </si>
  <si>
    <t>29 OCTUBRE </t>
  </si>
  <si>
    <t>86449, 86452, 86453, 86454, 86455, 86456, 86457, 86459, 86460, 86488, 86458, 86405, 86406, 86407, 86409, 86410, 86414, 86415, 86416, 86418. </t>
  </si>
  <si>
    <t>29 </t>
  </si>
  <si>
    <t>C/ Ecuador 1 </t>
  </si>
  <si>
    <t>H92340520 </t>
  </si>
  <si>
    <t>ES82 2103 0177 5900 3001 4106 </t>
  </si>
  <si>
    <t>14 MARZO </t>
  </si>
  <si>
    <t>AXA </t>
  </si>
  <si>
    <t>2526557 </t>
  </si>
  <si>
    <t>30 </t>
  </si>
  <si>
    <t>Héroe de Sostoa 92 </t>
  </si>
  <si>
    <t>H93747723 </t>
  </si>
  <si>
    <t>ES67 0081 7441 6200 0144 0947 </t>
  </si>
  <si>
    <t>9 JULIO </t>
  </si>
  <si>
    <t>MAPFRE </t>
  </si>
  <si>
    <t>5000085825, 5000085826, 5000085827 </t>
  </si>
  <si>
    <t>31 </t>
  </si>
  <si>
    <t>Mtnez de la Rosa 76 </t>
  </si>
  <si>
    <t>H29854874 </t>
  </si>
  <si>
    <t>ES83 3187 0424 1334 9084 3822 </t>
  </si>
  <si>
    <t>17 SEPTIEMBRE </t>
  </si>
  <si>
    <t>CATALANA </t>
  </si>
  <si>
    <t>638561 </t>
  </si>
  <si>
    <t>999 </t>
  </si>
  <si>
    <t>SERINCOSOL </t>
  </si>
  <si>
    <t>ES37 0081 7442 0600 0119 3630 </t>
  </si>
  <si>
    <t>3442390; 3442403 </t>
  </si>
  <si>
    <t>NO</t>
  </si>
  <si>
    <t>COMUNIDAD</t>
  </si>
  <si>
    <t>TIPO</t>
  </si>
  <si>
    <t>ESTADO DE CUENTAS</t>
  </si>
  <si>
    <t>MOROSOS</t>
  </si>
  <si>
    <t>REDACTAR ACTA</t>
  </si>
  <si>
    <t>Vº Bº PDT.</t>
  </si>
  <si>
    <t>REC MOROSOS</t>
  </si>
  <si>
    <t>FECHA REUNIÓN</t>
  </si>
  <si>
    <t>JGE</t>
  </si>
  <si>
    <t>SI</t>
  </si>
  <si>
    <t>NO PROCEDE</t>
  </si>
  <si>
    <t>CAMBIO DE FIRMAS</t>
  </si>
  <si>
    <t>EJECUTAR</t>
  </si>
  <si>
    <t>BANCO</t>
  </si>
  <si>
    <t>3111768; 3111776</t>
  </si>
  <si>
    <t>BANCO SABADELL</t>
  </si>
  <si>
    <t>CAJAMAR</t>
  </si>
  <si>
    <t>UNICAJA BANCO</t>
  </si>
  <si>
    <t>CAJA RURAL DEL SUR</t>
  </si>
  <si>
    <t>020 EDIFICIO ELIGIA</t>
  </si>
  <si>
    <t>PTO. ORDINARIO</t>
  </si>
  <si>
    <t>PTO. EXTRA</t>
  </si>
  <si>
    <t>021 APARCAMIENTOS ELIGIA</t>
  </si>
  <si>
    <t>022 JOSÉ CANALEJAS</t>
  </si>
  <si>
    <t>020 EDIFCIO ELIGIA</t>
  </si>
  <si>
    <t>JGO</t>
  </si>
  <si>
    <t>006 PARQUE CARLINDA  A5</t>
  </si>
  <si>
    <t>015 CONJUNTO RESIDENCIAL AIRESOL 2</t>
  </si>
  <si>
    <t>007 EDIFICIO GALA</t>
  </si>
  <si>
    <t>Último envío por carta</t>
  </si>
  <si>
    <t>Último envío por email</t>
  </si>
  <si>
    <t>Fecha última act. cuentas</t>
  </si>
  <si>
    <t>Pres. mod. 190</t>
  </si>
  <si>
    <t>024 RESIDENCIAL LA ENCINA</t>
  </si>
  <si>
    <t>Pres. mod.  111 IRPF</t>
  </si>
  <si>
    <t>Pres. mod. 347</t>
  </si>
  <si>
    <t>027 AVENIDA ATABAL</t>
  </si>
  <si>
    <t>PROCEDE</t>
  </si>
  <si>
    <t>MES</t>
  </si>
  <si>
    <t>CUOTA</t>
  </si>
  <si>
    <t>TOTAL</t>
  </si>
  <si>
    <t>026 EUGENIO GROSS 43</t>
  </si>
  <si>
    <t>EXTRA</t>
  </si>
  <si>
    <t xml:space="preserve">TOTAL </t>
  </si>
  <si>
    <t>m3</t>
  </si>
  <si>
    <t>x</t>
  </si>
  <si>
    <t>x=</t>
  </si>
  <si>
    <t>OTIS</t>
  </si>
  <si>
    <t>ENINTER</t>
  </si>
  <si>
    <t xml:space="preserve">ACTUAL </t>
  </si>
  <si>
    <t>PROPUESTA</t>
  </si>
  <si>
    <t>ASCENS. E.1</t>
  </si>
  <si>
    <t>ASCENS. E.2</t>
  </si>
  <si>
    <t>ASCENS. E.3</t>
  </si>
  <si>
    <t>MONTACOCHE</t>
  </si>
  <si>
    <t>IVA</t>
  </si>
  <si>
    <t>SALVAESCALERA</t>
  </si>
  <si>
    <t>TELÉFONO</t>
  </si>
  <si>
    <t>AHORRO</t>
  </si>
  <si>
    <t xml:space="preserve">ANUAL </t>
  </si>
  <si>
    <t>CITACIÓN @</t>
  </si>
  <si>
    <t>CIT. CARTA</t>
  </si>
  <si>
    <t>ACTA @</t>
  </si>
  <si>
    <t>ACTA CARTA</t>
  </si>
  <si>
    <t>PASAR ACUERDOS</t>
  </si>
  <si>
    <t>009 ACANTO 3</t>
  </si>
  <si>
    <t>028 RESIDENCIAL LOS TILOS</t>
  </si>
  <si>
    <t>029 CALLE ECUADOR</t>
  </si>
  <si>
    <t>031 MARTINEZ DE LA ROSA 76</t>
  </si>
  <si>
    <t>030 HÉROE DE SOSTOA 92</t>
  </si>
  <si>
    <t>PASADO A NETFINCAS Y RYP</t>
  </si>
  <si>
    <t>033 CARLINDA BLOQUE 5</t>
  </si>
  <si>
    <t>029 ECUADOR 1</t>
  </si>
  <si>
    <t>Nº Cdad</t>
  </si>
  <si>
    <t>remesa</t>
  </si>
  <si>
    <t>Mandar</t>
  </si>
  <si>
    <t xml:space="preserve"> Cobro</t>
  </si>
  <si>
    <t xml:space="preserve"> Remesa</t>
  </si>
  <si>
    <t xml:space="preserve"> honorarios</t>
  </si>
  <si>
    <t>2º Trim.</t>
  </si>
  <si>
    <t>IRPF</t>
  </si>
  <si>
    <t>B.Sabadell</t>
  </si>
  <si>
    <t>Cajamar</t>
  </si>
  <si>
    <t>Unicaja</t>
  </si>
  <si>
    <t>X</t>
  </si>
  <si>
    <t>CAJASUR</t>
  </si>
  <si>
    <t>AdP 008</t>
  </si>
  <si>
    <t>Móises</t>
  </si>
  <si>
    <t>AdP 012</t>
  </si>
  <si>
    <t>J.PINTOR</t>
  </si>
  <si>
    <t>SE QUITA ENVÍO DE RECIBOS POR VENIR TODOS DEVUELTOS</t>
  </si>
  <si>
    <t>AdP 016</t>
  </si>
  <si>
    <t>Bajo A</t>
  </si>
  <si>
    <r>
      <t xml:space="preserve">AdP </t>
    </r>
    <r>
      <rPr>
        <sz val="11"/>
        <color rgb="FF333333"/>
        <rFont val="Calibri"/>
        <family val="2"/>
        <scheme val="minor"/>
      </rPr>
      <t>026</t>
    </r>
  </si>
  <si>
    <t>6º C</t>
  </si>
  <si>
    <r>
      <t xml:space="preserve">AdP </t>
    </r>
    <r>
      <rPr>
        <sz val="11"/>
        <color rgb="FF333333"/>
        <rFont val="Calibri"/>
        <family val="2"/>
        <scheme val="minor"/>
      </rPr>
      <t>027</t>
    </r>
  </si>
  <si>
    <t>7º C</t>
  </si>
  <si>
    <t>AdP 027</t>
  </si>
  <si>
    <t>Ático</t>
  </si>
  <si>
    <t>Serincosol</t>
  </si>
  <si>
    <t>B. Sabadell</t>
  </si>
  <si>
    <t>NOTAS</t>
  </si>
  <si>
    <t>SEMESTRAL</t>
  </si>
  <si>
    <t>TRIMESTRAL</t>
  </si>
  <si>
    <t>NO REMESA</t>
  </si>
  <si>
    <t>San Jorge 16</t>
  </si>
  <si>
    <t>H29712379</t>
  </si>
  <si>
    <t>ES09 2103 3017 3800 3000 1519</t>
  </si>
  <si>
    <t>23 NOVIEMBRE.</t>
  </si>
  <si>
    <t>Carlinda Bloque 5</t>
  </si>
  <si>
    <t>H92014687</t>
  </si>
  <si>
    <t>ES42 2103 3059 1300 3000 4221</t>
  </si>
  <si>
    <t>15 ABRIL.</t>
  </si>
  <si>
    <t>ü</t>
  </si>
  <si>
    <t>generar</t>
  </si>
  <si>
    <t>enviar</t>
  </si>
  <si>
    <t>REMESA</t>
  </si>
  <si>
    <t>-</t>
  </si>
  <si>
    <t>011 CERVANTES 8</t>
  </si>
  <si>
    <t>Columna1</t>
  </si>
  <si>
    <t>Pezuela 3</t>
  </si>
  <si>
    <t>H29486446</t>
  </si>
  <si>
    <t>ES81 2103 0150 9300 3000 9346</t>
  </si>
  <si>
    <t>JGO  18/10/21</t>
  </si>
  <si>
    <t>JGO  18/10/22</t>
  </si>
  <si>
    <t>JGO 25/10/22</t>
  </si>
  <si>
    <t>PARA REUNIÓN</t>
  </si>
  <si>
    <t>JGO 07/10/21</t>
  </si>
  <si>
    <t>JGO 07/10/22</t>
  </si>
  <si>
    <t>034 PASAJE PEZUELA</t>
  </si>
  <si>
    <t>014 JARDINES DE LA TORRE</t>
  </si>
  <si>
    <t>025 URBANIZACIÓN RUISEÑOR</t>
  </si>
  <si>
    <t>034 PASAJE PEZUELA, 3</t>
  </si>
  <si>
    <t>027 AVDA. ATABAL 3</t>
  </si>
  <si>
    <t xml:space="preserve"> </t>
  </si>
  <si>
    <t>032 SAN JORGE 16</t>
  </si>
  <si>
    <t>015 CONJUNTO AIRESOL 2</t>
  </si>
  <si>
    <t>002 CARLINDA 4 BLOQUE C</t>
  </si>
  <si>
    <t>003 E.U.C.C. LAS MORILLAS II</t>
  </si>
  <si>
    <t>028 RESIDENCIAL LOS TILOS 72</t>
  </si>
  <si>
    <t>016 CAMINO SAN ALBERTO 9</t>
  </si>
  <si>
    <t>034 PASAJE PEZUELA 3</t>
  </si>
  <si>
    <t>012 CAMINO SAN ALBERTO 15</t>
  </si>
  <si>
    <t>SI PROCEDE</t>
  </si>
  <si>
    <t>037 AVDA. BARCELONA 20</t>
  </si>
  <si>
    <t>022 JOSÉ CANALEJAS 1</t>
  </si>
  <si>
    <t>Edificio Alcazaba II</t>
  </si>
  <si>
    <t>H92713981</t>
  </si>
  <si>
    <t>ES25 0081 1508 1000 0123 5531</t>
  </si>
  <si>
    <t>Las Villas 3</t>
  </si>
  <si>
    <t>H92928373</t>
  </si>
  <si>
    <t>ES29 2103 2050 9400 3001 5531</t>
  </si>
  <si>
    <t>Edificio Amaranto</t>
  </si>
  <si>
    <t>H29621703</t>
  </si>
  <si>
    <t>ES81 0081 7440 1500 0162 6766</t>
  </si>
  <si>
    <t>31 DE ENERO</t>
  </si>
  <si>
    <t>31 DE DICIEMBRE</t>
  </si>
  <si>
    <t>3222110,3181928,3192610</t>
  </si>
  <si>
    <t>035 EDIFICIO ALCAZABA II</t>
  </si>
  <si>
    <t>JUNTA VOCALES</t>
  </si>
  <si>
    <t>REUNIÓN INF.</t>
  </si>
  <si>
    <t>SI (CARTELES)</t>
  </si>
  <si>
    <t>SI (WHATSAPP)</t>
  </si>
  <si>
    <t>036 LAS VILLAS 3</t>
  </si>
  <si>
    <t>031 MARTINEZ DE LA ROSA</t>
  </si>
  <si>
    <t>REUNIÓN J.D.</t>
  </si>
  <si>
    <t>FALTA ACTA EN WEB.</t>
  </si>
  <si>
    <t>COMISIÓN OBRA</t>
  </si>
  <si>
    <t>037 EDIFICIO AMARANTO</t>
  </si>
  <si>
    <t xml:space="preserve">SI </t>
  </si>
  <si>
    <t>CONSULTA TENDEDEROS</t>
  </si>
  <si>
    <t>FALTA RESULTADOS EN WEB.</t>
  </si>
  <si>
    <t>004 NUESTRA SEÑORA DE TISCAR 5</t>
  </si>
  <si>
    <t>038 LOS RAMOS</t>
  </si>
  <si>
    <t>042 RESIDENCIAL BELLAVISTA</t>
  </si>
  <si>
    <t>JUNTA CONSTITUYENTE</t>
  </si>
  <si>
    <t>030 CONSULTA PINCHITOS</t>
  </si>
  <si>
    <t>Los ramos 1ª fase</t>
  </si>
  <si>
    <t>Residencial las flores bl. Ii</t>
  </si>
  <si>
    <t>Edificio los almendros</t>
  </si>
  <si>
    <t>Residencial bellavista</t>
  </si>
  <si>
    <t>Los millones</t>
  </si>
  <si>
    <t>H29274222</t>
  </si>
  <si>
    <t>ES20 0081 1508 1800 0124 8130</t>
  </si>
  <si>
    <t>H92397751</t>
  </si>
  <si>
    <t>H93094407</t>
  </si>
  <si>
    <t>ES23 0049 4587 6025 9001 1539</t>
  </si>
  <si>
    <t>27 DE DICIEMBRE</t>
  </si>
  <si>
    <t>30 DE OCTUBRE</t>
  </si>
  <si>
    <t>ZURICH</t>
  </si>
  <si>
    <t>30 DE DICIEMBRE</t>
  </si>
  <si>
    <t>8 DE NOVIEMBRE</t>
  </si>
  <si>
    <t>1 DE AGOSTO</t>
  </si>
  <si>
    <t>JUNTA DIRECTIVA</t>
  </si>
  <si>
    <t xml:space="preserve">NO PROCEDE </t>
  </si>
  <si>
    <t>041 EDIFICIO LOS ALMENDROS</t>
  </si>
  <si>
    <t>017 CAMINO SAN ALBERTO 17</t>
  </si>
  <si>
    <t>013 TRASTEROS CALIMA</t>
  </si>
  <si>
    <t>Martinez de la Rosa 69</t>
  </si>
  <si>
    <t>H29717352</t>
  </si>
  <si>
    <t>ES56 2103 0150 9100 3000 9603</t>
  </si>
  <si>
    <t>H92640333</t>
  </si>
  <si>
    <t>ES46 3058 0851 4628 1070 0536</t>
  </si>
  <si>
    <t>H72456221</t>
  </si>
  <si>
    <t>Las Palmeras I</t>
  </si>
  <si>
    <t>Aparejador Federico Bermúdez</t>
  </si>
  <si>
    <t>H92145010</t>
  </si>
  <si>
    <t>ES30 0081 0587 3700 0134 5740</t>
  </si>
  <si>
    <t>H29537040</t>
  </si>
  <si>
    <t>ES11 2103 3037 8500 3001 3021</t>
  </si>
  <si>
    <t>BANCO SANTANDER</t>
  </si>
  <si>
    <t>ES09 2103 0179 4000 3000 3544</t>
  </si>
  <si>
    <t>21 DE DICIEMBRE</t>
  </si>
  <si>
    <t>LIBERTY SEGUROS</t>
  </si>
  <si>
    <t>15 DE ENERO</t>
  </si>
  <si>
    <t>043 LOS MILLONES 6</t>
  </si>
  <si>
    <t>FALTA CONVOCATORIA Y ACTA EN WEB</t>
  </si>
  <si>
    <t xml:space="preserve">035 EDIFICIO ALCAZABA II </t>
  </si>
  <si>
    <t>010 JOSÉ ORTEGA LUQUE 3</t>
  </si>
  <si>
    <t>045 LAS PALMERAS I</t>
  </si>
  <si>
    <t>044 MARTINEZ DE LA ROSA 69</t>
  </si>
  <si>
    <t>Juan de Ortega 6</t>
  </si>
  <si>
    <t>046 APAREJADOR FEDERICO BERMUDEZ</t>
  </si>
  <si>
    <t>ES89 3058 0851 4227 2002 2515</t>
  </si>
  <si>
    <t>Sostoa 79</t>
  </si>
  <si>
    <t>Bisas de Torrequebrada</t>
  </si>
  <si>
    <t>H29455193</t>
  </si>
  <si>
    <t>H92002443</t>
  </si>
  <si>
    <t>H92697184</t>
  </si>
  <si>
    <t>047 JUAN DE ORTEGA 6</t>
  </si>
  <si>
    <t>048 HÉROE DE SOSTOA 79</t>
  </si>
  <si>
    <t>040 LAS FLORES BL. II</t>
  </si>
  <si>
    <t>050 EDIFICIO LA LUBINA</t>
  </si>
  <si>
    <t>015 CONUNTO RESIDENCIAL AIRESOL 2</t>
  </si>
  <si>
    <t>038 LOS RAMOS 1ª FASE</t>
  </si>
  <si>
    <t>Edificio Lubina</t>
  </si>
  <si>
    <t>Residencial Azahar Manzana</t>
  </si>
  <si>
    <t>H29706157</t>
  </si>
  <si>
    <t>ES87 3058 0768 1327 2002 5018</t>
  </si>
  <si>
    <t>ES59 0081 0240 1300 0327 1831</t>
  </si>
  <si>
    <t>ES94 0081 0255 1600 0156 7857</t>
  </si>
  <si>
    <t>OCASO SEGUROS</t>
  </si>
  <si>
    <t>CATALANA OCCIDENTE</t>
  </si>
  <si>
    <t>3 DE OCTUBRE</t>
  </si>
  <si>
    <t>5 DE MAYO</t>
  </si>
  <si>
    <t>027 ATABAL 3</t>
  </si>
  <si>
    <t>022 JOSÉ CANALEJAS, 1</t>
  </si>
  <si>
    <t>030 HÉROE DE SOSTOA, 92</t>
  </si>
  <si>
    <t>012 CAMINO SAN ALBERTO, 15</t>
  </si>
  <si>
    <t>052 LOS RAMOS</t>
  </si>
  <si>
    <t>017 CAMINO SAN ALBERTO, 17</t>
  </si>
  <si>
    <t>018 CAMINO SAN ALBERTO 13</t>
  </si>
  <si>
    <t>008 TRASTEROS PASAJE CALIMERO</t>
  </si>
  <si>
    <t>003 LAS MORILLAS II</t>
  </si>
  <si>
    <t>052 EDIFICIO LOS RAMOS</t>
  </si>
  <si>
    <t xml:space="preserve">Los Ramos  </t>
  </si>
  <si>
    <t>Plaza Mayor</t>
  </si>
  <si>
    <t>Villa Natalia</t>
  </si>
  <si>
    <t>J.D.</t>
  </si>
  <si>
    <t>PASAR A NETFINCAS EL ACTA.</t>
  </si>
  <si>
    <t>032 SAN JORGE, 16</t>
  </si>
  <si>
    <t>040 RESIDENCIAL LAS FLORES</t>
  </si>
  <si>
    <t>046 APAREJADOR FEDERICO BERMÚDEZ</t>
  </si>
  <si>
    <t>038 JUNTA DE VOCALES</t>
  </si>
  <si>
    <t>JD</t>
  </si>
  <si>
    <t>054 VILLA NATALIA</t>
  </si>
  <si>
    <t xml:space="preserve">051 RESIDENCIAL AZAHAR MANZANA </t>
  </si>
  <si>
    <t>055 MARTINEZ MALDONADO 68</t>
  </si>
  <si>
    <t>057 MARTINEZ DE LA ROSA 75</t>
  </si>
  <si>
    <t>SU</t>
  </si>
  <si>
    <t>056 JARDINES DEL CARMEN IV FASE</t>
  </si>
  <si>
    <t>049 BRISAS DE TORREQUEBRADA</t>
  </si>
  <si>
    <t>058 LOS MILLONES 9</t>
  </si>
  <si>
    <t>053 EDIFICIO PLAZA MAYOR</t>
  </si>
  <si>
    <t>YA LO PASARÁ EL NUEVO ADMINISTRADOR.</t>
  </si>
  <si>
    <t xml:space="preserve">NO </t>
  </si>
  <si>
    <t>SI (WHATSAPP) Y CORREO</t>
  </si>
  <si>
    <t>027 AVENIDA ATABAL, 3</t>
  </si>
  <si>
    <t>033 CARLINDA 5</t>
  </si>
  <si>
    <t>018 CAMINO SAN ALBERTO, 13</t>
  </si>
  <si>
    <t>NO HACE FALTA</t>
  </si>
  <si>
    <t>030 HÉEROE DE SOSTOA 92</t>
  </si>
  <si>
    <t>059 RESIDENCIAL TORRES DE SAN RAFAEL</t>
  </si>
  <si>
    <t>046 APAREJADOR FEDERICO BERMÚDEZ, 5-6</t>
  </si>
  <si>
    <t>NO (EL PRESIDENTE DICE DE NO BUZONEARLO)</t>
  </si>
  <si>
    <t>060 URBANIZACIÓN CONDEMAR</t>
  </si>
  <si>
    <t>SI (WHATSAPP Y CARTA</t>
  </si>
  <si>
    <t>027 AVENIDA ATABAL 3</t>
  </si>
  <si>
    <t>015 RESIDENCIAL AIRESOL 2</t>
  </si>
  <si>
    <t>SI (EMAIL Y WHATSAPP)</t>
  </si>
  <si>
    <t>NO (WEB)</t>
  </si>
  <si>
    <t>NO (WHATSAPP)</t>
  </si>
  <si>
    <t>NO (PLATAFORMA)</t>
  </si>
  <si>
    <t>060 PISCIS DE CONDEMAR</t>
  </si>
  <si>
    <t>JC</t>
  </si>
  <si>
    <t>AGE</t>
  </si>
  <si>
    <t>064 BLAS INFANTE 3</t>
  </si>
  <si>
    <t>PDTE.</t>
  </si>
  <si>
    <t>065 EDIFICIO MARTIRICOS</t>
  </si>
  <si>
    <t>066 EDIFICIO DEL ROSARIO</t>
  </si>
  <si>
    <t>062 URBANIZACIÓN SANTA CRISTINA</t>
  </si>
  <si>
    <t>063 HELIOMAR BLOQUE II</t>
  </si>
  <si>
    <t>JV</t>
  </si>
  <si>
    <t>J.V.</t>
  </si>
  <si>
    <t xml:space="preserve">067 JARDIN BOTÁNICO </t>
  </si>
  <si>
    <t>SI (PLATAFORMA)</t>
  </si>
  <si>
    <t>038 LOS RAMOS 1º FASE</t>
  </si>
  <si>
    <t>XX/XX/XX</t>
  </si>
  <si>
    <t>022 JOSE CANALEJAS 1</t>
  </si>
  <si>
    <t>018 EDIFICIO CALIMA 13</t>
  </si>
  <si>
    <t>017 EDIFICIO CALIMA 17</t>
  </si>
  <si>
    <t>030 SOSTOA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</si>
</sst>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33333"/>
      <name val="&amp;quot"/>
    </font>
    <font>
      <sz val="11"/>
      <color rgb="FF000000"/>
      <name val="Calibri"/>
      <family val="2"/>
      <scheme val="minor"/>
    </font>
    <font>
      <sz val="11"/>
      <color rgb="FFE84C22"/>
      <name val="Calibri"/>
      <family val="2"/>
      <scheme val="minor"/>
    </font>
    <font>
      <b/>
      <sz val="11"/>
      <color rgb="FFE84C22"/>
      <name val="Calibri"/>
      <family val="2"/>
      <scheme val="minor"/>
    </font>
    <font>
      <b/>
      <sz val="11"/>
      <color theme="1"/>
      <name val="Wingdings"/>
      <charset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0" fillId="4" borderId="0" xfId="0" applyFill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17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0" fillId="5" borderId="0" xfId="0" applyFill="1"/>
    <xf numFmtId="0" fontId="0" fillId="6" borderId="0" xfId="0" applyFill="1"/>
    <xf numFmtId="0" fontId="0" fillId="7" borderId="0" xfId="0" applyFill="1"/>
    <xf numFmtId="1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17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/>
    <xf numFmtId="0" fontId="5" fillId="0" borderId="0" xfId="0" applyFont="1"/>
    <xf numFmtId="14" fontId="0" fillId="3" borderId="2" xfId="0" applyNumberFormat="1" applyFill="1" applyBorder="1"/>
    <xf numFmtId="14" fontId="0" fillId="0" borderId="2" xfId="0" applyNumberFormat="1" applyBorder="1"/>
    <xf numFmtId="14" fontId="0" fillId="0" borderId="2" xfId="0" applyNumberFormat="1" applyBorder="1" applyAlignment="1">
      <alignment horizontal="right"/>
    </xf>
    <xf numFmtId="14" fontId="0" fillId="3" borderId="2" xfId="0" applyNumberFormat="1" applyFill="1" applyBorder="1" applyAlignment="1">
      <alignment horizontal="right"/>
    </xf>
    <xf numFmtId="16" fontId="0" fillId="0" borderId="0" xfId="0" applyNumberFormat="1"/>
    <xf numFmtId="14" fontId="0" fillId="0" borderId="0" xfId="0" applyNumberFormat="1" applyAlignment="1">
      <alignment vertical="center"/>
    </xf>
    <xf numFmtId="0" fontId="0" fillId="10" borderId="0" xfId="0" applyFill="1"/>
    <xf numFmtId="0" fontId="0" fillId="11" borderId="0" xfId="0" applyFill="1"/>
    <xf numFmtId="14" fontId="0" fillId="11" borderId="0" xfId="0" applyNumberFormat="1" applyFill="1"/>
    <xf numFmtId="14" fontId="0" fillId="6" borderId="0" xfId="0" applyNumberFormat="1" applyFill="1"/>
    <xf numFmtId="0" fontId="0" fillId="5" borderId="0" xfId="0" applyFill="1" applyAlignment="1">
      <alignment wrapText="1"/>
    </xf>
    <xf numFmtId="0" fontId="0" fillId="9" borderId="0" xfId="0" applyFill="1"/>
    <xf numFmtId="14" fontId="0" fillId="7" borderId="0" xfId="0" applyNumberFormat="1" applyFill="1"/>
    <xf numFmtId="0" fontId="3" fillId="0" borderId="0" xfId="0" applyFont="1" applyAlignment="1">
      <alignment vertical="center" wrapText="1"/>
    </xf>
    <xf numFmtId="17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vertical="center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0182DF-D602-4B38-B874-3A527582E134}" name="Tabla3" displayName="Tabla3" ref="A1:K1048576" totalsRowShown="0">
  <autoFilter ref="A1:K1048576" xr:uid="{810182DF-D602-4B38-B874-3A527582E134}"/>
  <tableColumns count="11">
    <tableColumn id="1" xr3:uid="{B795A029-B84E-4E8C-A6A2-FD49C9C492AF}" name="Nº"/>
    <tableColumn id="2" xr3:uid="{DBC929D0-AEA6-4E2B-A34D-BF348ADEC0ED}" name="NOMBRE"/>
    <tableColumn id="3" xr3:uid="{AFE74D2A-BAC5-432B-A38F-B04AC0BF7A10}" name="CIF: "/>
    <tableColumn id="4" xr3:uid="{7D08217F-77F8-4B6F-9005-74B24580A20D}" name="NÚMERO DE CUENTA"/>
    <tableColumn id="11" xr3:uid="{CB42DBB8-967A-40B6-BABF-DAC4CFACD9BD}" name="BANCO"/>
    <tableColumn id="5" xr3:uid="{D31FEED0-6A14-4FBC-AAB0-352B3E843229}" name="MES JGO"/>
    <tableColumn id="6" xr3:uid="{04A3D4C7-62B6-4D8B-B52C-C0D20687B826}" name="FECHA VENCIMIENTO SEGURO"/>
    <tableColumn id="7" xr3:uid="{EE43B81E-85D8-43C8-8375-61BB2F8D3993}" name="COMPAÑÍA"/>
    <tableColumn id="8" xr3:uid="{C9AE8F66-59AA-48EA-A9B3-CC27A246ED89}" name="PÓLIZA EMASA"/>
    <tableColumn id="9" xr3:uid="{127A2076-F918-4E56-BFA8-BDFB386DFD09}" name="CERTF."/>
    <tableColumn id="10" xr3:uid="{2D10A5CB-7589-4376-BBC2-8A8EB1E390AD}" name="BROKAL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15944B-237B-4049-BFC2-83E267AF20BE}" name="Tabla35" displayName="Tabla35" ref="A1:K1048576" totalsRowShown="0">
  <autoFilter ref="A1:K1048576" xr:uid="{9A15944B-237B-4049-BFC2-83E267AF20BE}"/>
  <tableColumns count="11">
    <tableColumn id="1" xr3:uid="{B8463818-BA65-44B5-B374-0DC028D5A775}" name="Nº"/>
    <tableColumn id="2" xr3:uid="{6D03431C-155D-4F34-B6EB-78A57A577346}" name="NOMBRE"/>
    <tableColumn id="3" xr3:uid="{92898AE7-D781-49C0-B99A-0755C898F62F}" name="CIF: "/>
    <tableColumn id="4" xr3:uid="{56503ADC-9E72-4EAD-AF5A-53E8500FAD97}" name="NÚMERO DE CUENTA"/>
    <tableColumn id="11" xr3:uid="{9ED8E7F8-42B8-454F-B05E-C719A741B28C}" name="BANCO"/>
    <tableColumn id="5" xr3:uid="{6C0440BF-E762-401E-B6D0-DF944F49ADE8}" name="MES JGO"/>
    <tableColumn id="6" xr3:uid="{931D70AC-2037-45F8-8559-2B1812DEA7EC}" name="FECHA VENCIMIENTO SEGURO"/>
    <tableColumn id="7" xr3:uid="{3D604D08-03DE-4483-AA32-2DF23E000F38}" name="COMPAÑÍA"/>
    <tableColumn id="8" xr3:uid="{532B18EF-8F06-4F7C-9AD7-1D8AFDEDBA3F}" name="PÓLIZA EMASA"/>
    <tableColumn id="9" xr3:uid="{F42DE393-7179-4E92-8A52-431BE1476975}" name="CERTF."/>
    <tableColumn id="10" xr3:uid="{13E5854B-EB5F-401C-B1CF-E0EAC8B74B37}" name="BROKAL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7E4D4-C0E9-428E-BD30-F38FFB81AA74}" name="Tabla2" displayName="Tabla2" ref="A1:S1048565" totalsRowShown="0" headerRowDxfId="4">
  <autoFilter ref="A1:S1048565" xr:uid="{EF97E4D4-C0E9-428E-BD30-F38FFB81AA74}"/>
  <sortState xmlns:xlrd2="http://schemas.microsoft.com/office/spreadsheetml/2017/richdata2" ref="A2:S203">
    <sortCondition ref="B1:B1048565"/>
  </sortState>
  <tableColumns count="19">
    <tableColumn id="1" xr3:uid="{A2E7EAF6-48D0-4A13-8C74-067CFCA951DF}" name="COMUNIDAD"/>
    <tableColumn id="2" xr3:uid="{80B78DD4-7967-448D-BCD5-542ACC053803}" name="FECHA REUNIÓN"/>
    <tableColumn id="3" xr3:uid="{292B3DF9-30D0-4C13-BBF6-262A2AAC9520}" name="TIPO"/>
    <tableColumn id="4" xr3:uid="{85B43D53-4246-47D5-A625-A9E95CF9AA16}" name="ESTADO DE CUENTAS"/>
    <tableColumn id="5" xr3:uid="{5CFCC396-64C1-4FAE-8BBE-E1C8DBDF8872}" name="PTO. ORDINARIO"/>
    <tableColumn id="17" xr3:uid="{659EF83D-64F9-4328-8D10-76B60DD07D56}" name="PTO. EXTRA"/>
    <tableColumn id="6" xr3:uid="{666EF2F7-054D-4DD8-AADA-B39677E4F63A}" name="MOROSOS"/>
    <tableColumn id="7" xr3:uid="{B1540B72-154F-4C18-9B9D-344F4EBBEC74}" name="CITACIÓN @"/>
    <tableColumn id="8" xr3:uid="{DB10D3C9-C5EF-4C1A-B321-E3B601BFFFCD}" name="CIT. CARTA"/>
    <tableColumn id="9" xr3:uid="{D4526A9D-D173-4481-A024-FB21635037B6}" name="REDACTAR ACTA"/>
    <tableColumn id="10" xr3:uid="{0B995B0B-E6D0-4D1E-84E8-F458E4BEF021}" name="Vº Bº PDT."/>
    <tableColumn id="11" xr3:uid="{49848E36-C5BC-4B61-B327-06EA640E014D}" name="ACTA @"/>
    <tableColumn id="12" xr3:uid="{079D2AC7-A3FC-40C7-90CE-5742F806E1C7}" name="ACTA CARTA"/>
    <tableColumn id="13" xr3:uid="{ABF5FD18-0F6D-4EA9-AA5D-45984F830CE3}" name="PASAR ACUERDOS"/>
    <tableColumn id="14" xr3:uid="{2A1B9574-7444-4CDC-BC11-CC17078C499C}" name="EJECUTAR"/>
    <tableColumn id="15" xr3:uid="{82EE6C8E-1CF7-4498-9D08-012440A8AD5C}" name="REC MOROSOS"/>
    <tableColumn id="16" xr3:uid="{21951A6B-EB8F-4209-9297-71B1F815E1F1}" name="CAMBIO DE FIRMAS"/>
    <tableColumn id="18" xr3:uid="{D7614E6F-FDE9-4F42-B1F3-11692CB81BFC}" name="PASADO A NETFINCAS Y RYP"/>
    <tableColumn id="19" xr3:uid="{3EB9077D-B2DB-4E47-922A-F4DA7C5992DD}" name="Columna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87524-E416-431E-9F98-BCA4B3809CF8}" name="Tabla1" displayName="Tabla1" ref="B1:I1048576" totalsRowShown="0" headerRowDxfId="3" headerRowBorderDxfId="2" tableBorderDxfId="1">
  <autoFilter ref="B1:I1048576" xr:uid="{1BA87524-E416-431E-9F98-BCA4B3809CF8}"/>
  <tableColumns count="8">
    <tableColumn id="1" xr3:uid="{FC79FC57-9EA7-4FD8-840B-297B6DE502D8}" name="NOMBRE"/>
    <tableColumn id="2" xr3:uid="{F1E2D7B5-F4E5-4D23-91E5-32794EC4CA92}" name="CIF: "/>
    <tableColumn id="3" xr3:uid="{0387AA87-60BD-4B68-8FB7-1324AB71E55C}" name="Fecha última act. cuentas"/>
    <tableColumn id="4" xr3:uid="{17AAC338-6150-49F7-B040-0A0C7C4F25C5}" name="Último envío por carta"/>
    <tableColumn id="5" xr3:uid="{F5ECE1A7-CBA9-4399-BE94-63E66B95EE81}" name="Último envío por email"/>
    <tableColumn id="6" xr3:uid="{5DD3A982-377F-4686-8594-ABC6CF281461}" name="Pres. mod.  111 IRPF"/>
    <tableColumn id="7" xr3:uid="{5A35CFB4-4D25-46FF-8F87-0442395201E1}" name="Pres. mod. 190"/>
    <tableColumn id="8" xr3:uid="{2AC7573F-7286-46A6-8140-BB44426765D3}" name="Pres. mod. 34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5819-900E-46B6-B051-DA3CA9C20B92}">
  <dimension ref="A1:M38"/>
  <sheetViews>
    <sheetView workbookViewId="0">
      <selection sqref="A1:XFD1048576"/>
    </sheetView>
  </sheetViews>
  <sheetFormatPr baseColWidth="10" defaultColWidth="11.42578125" defaultRowHeight="15"/>
  <cols>
    <col min="1" max="1" width="5.42578125" customWidth="1"/>
    <col min="2" max="2" width="24.42578125" bestFit="1" customWidth="1"/>
    <col min="3" max="3" width="10.7109375" bestFit="1" customWidth="1"/>
    <col min="4" max="4" width="28" bestFit="1" customWidth="1"/>
    <col min="5" max="5" width="28" customWidth="1"/>
    <col min="6" max="6" width="12.140625" bestFit="1" customWidth="1"/>
    <col min="7" max="7" width="36.140625" bestFit="1" customWidth="1"/>
    <col min="8" max="8" width="13.140625" customWidth="1"/>
    <col min="9" max="9" width="16.7109375" customWidth="1"/>
    <col min="10" max="10" width="9" customWidth="1"/>
    <col min="11" max="11" width="12.42578125" bestFit="1" customWidth="1"/>
  </cols>
  <sheetData>
    <row r="1" spans="1:11">
      <c r="A1" t="s">
        <v>0</v>
      </c>
      <c r="B1" t="s">
        <v>1</v>
      </c>
      <c r="C1" t="s">
        <v>3</v>
      </c>
      <c r="D1" t="s">
        <v>2</v>
      </c>
      <c r="E1" t="s">
        <v>206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13</v>
      </c>
      <c r="B2" t="s">
        <v>14</v>
      </c>
      <c r="C2" t="s">
        <v>15</v>
      </c>
      <c r="D2" t="s">
        <v>16</v>
      </c>
      <c r="E2" t="s">
        <v>208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209</v>
      </c>
      <c r="F3" t="s">
        <v>26</v>
      </c>
      <c r="G3" t="s">
        <v>27</v>
      </c>
      <c r="H3" t="s">
        <v>28</v>
      </c>
      <c r="J3" t="s">
        <v>21</v>
      </c>
      <c r="K3" t="s">
        <v>21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210</v>
      </c>
      <c r="F4" t="s">
        <v>26</v>
      </c>
      <c r="G4" t="s">
        <v>33</v>
      </c>
      <c r="H4" t="s">
        <v>34</v>
      </c>
      <c r="I4" t="s">
        <v>35</v>
      </c>
      <c r="J4" t="s">
        <v>21</v>
      </c>
      <c r="K4" t="s">
        <v>21</v>
      </c>
    </row>
    <row r="5" spans="1:11">
      <c r="A5" t="s">
        <v>36</v>
      </c>
      <c r="B5" t="s">
        <v>37</v>
      </c>
      <c r="C5" t="s">
        <v>38</v>
      </c>
      <c r="D5" t="s">
        <v>39</v>
      </c>
      <c r="E5" t="s">
        <v>208</v>
      </c>
      <c r="F5" t="s">
        <v>40</v>
      </c>
      <c r="G5" t="s">
        <v>41</v>
      </c>
      <c r="I5" t="s">
        <v>42</v>
      </c>
      <c r="J5" t="s">
        <v>21</v>
      </c>
      <c r="K5" s="6" t="s">
        <v>192</v>
      </c>
    </row>
    <row r="6" spans="1:11">
      <c r="A6" t="s">
        <v>43</v>
      </c>
      <c r="B6" t="s">
        <v>44</v>
      </c>
      <c r="C6" t="s">
        <v>45</v>
      </c>
      <c r="D6" t="s">
        <v>46</v>
      </c>
      <c r="E6" t="s">
        <v>208</v>
      </c>
      <c r="F6" t="s">
        <v>47</v>
      </c>
      <c r="G6" t="s">
        <v>48</v>
      </c>
      <c r="H6" t="s">
        <v>49</v>
      </c>
      <c r="J6" t="s">
        <v>21</v>
      </c>
      <c r="K6" t="s">
        <v>21</v>
      </c>
    </row>
    <row r="7" spans="1:11">
      <c r="A7" t="s">
        <v>50</v>
      </c>
      <c r="B7" t="s">
        <v>51</v>
      </c>
      <c r="C7" t="s">
        <v>52</v>
      </c>
      <c r="D7" t="s">
        <v>53</v>
      </c>
      <c r="E7" t="s">
        <v>208</v>
      </c>
      <c r="F7" t="s">
        <v>54</v>
      </c>
      <c r="G7" t="s">
        <v>55</v>
      </c>
      <c r="J7" t="s">
        <v>21</v>
      </c>
      <c r="K7" s="6" t="s">
        <v>192</v>
      </c>
    </row>
    <row r="8" spans="1:11">
      <c r="A8" t="s">
        <v>56</v>
      </c>
      <c r="B8" t="s">
        <v>57</v>
      </c>
      <c r="C8" t="s">
        <v>58</v>
      </c>
      <c r="D8" t="s">
        <v>59</v>
      </c>
      <c r="E8" t="s">
        <v>210</v>
      </c>
      <c r="F8" t="s">
        <v>17</v>
      </c>
      <c r="G8" t="s">
        <v>60</v>
      </c>
      <c r="H8" t="s">
        <v>97</v>
      </c>
      <c r="I8" t="s">
        <v>207</v>
      </c>
      <c r="J8" t="s">
        <v>21</v>
      </c>
      <c r="K8" t="s">
        <v>21</v>
      </c>
    </row>
    <row r="9" spans="1:11">
      <c r="A9" t="s">
        <v>62</v>
      </c>
      <c r="B9" t="s">
        <v>63</v>
      </c>
      <c r="C9" t="s">
        <v>64</v>
      </c>
      <c r="D9" t="s">
        <v>65</v>
      </c>
      <c r="E9" t="s">
        <v>209</v>
      </c>
      <c r="F9" t="s">
        <v>40</v>
      </c>
      <c r="G9" t="s">
        <v>66</v>
      </c>
      <c r="H9" t="s">
        <v>28</v>
      </c>
      <c r="I9" t="s">
        <v>67</v>
      </c>
      <c r="J9" t="s">
        <v>21</v>
      </c>
      <c r="K9" t="s">
        <v>21</v>
      </c>
    </row>
    <row r="10" spans="1:11">
      <c r="A10" t="s">
        <v>68</v>
      </c>
      <c r="B10" t="s">
        <v>69</v>
      </c>
      <c r="C10" t="s">
        <v>70</v>
      </c>
      <c r="D10" t="s">
        <v>71</v>
      </c>
      <c r="E10" t="s">
        <v>208</v>
      </c>
      <c r="F10" t="s">
        <v>72</v>
      </c>
      <c r="G10" t="s">
        <v>73</v>
      </c>
      <c r="H10" t="s">
        <v>74</v>
      </c>
      <c r="I10" t="s">
        <v>75</v>
      </c>
      <c r="J10" t="s">
        <v>21</v>
      </c>
      <c r="K10" t="s">
        <v>21</v>
      </c>
    </row>
    <row r="11" spans="1:11">
      <c r="A11" t="s">
        <v>76</v>
      </c>
      <c r="B11" t="s">
        <v>77</v>
      </c>
      <c r="C11" t="s">
        <v>78</v>
      </c>
      <c r="D11" t="s">
        <v>79</v>
      </c>
      <c r="E11" t="s">
        <v>208</v>
      </c>
      <c r="F11" t="s">
        <v>54</v>
      </c>
      <c r="G11" t="s">
        <v>80</v>
      </c>
      <c r="H11" t="s">
        <v>34</v>
      </c>
      <c r="J11" t="s">
        <v>21</v>
      </c>
      <c r="K11" t="s">
        <v>21</v>
      </c>
    </row>
    <row r="12" spans="1:11">
      <c r="A12" t="s">
        <v>81</v>
      </c>
      <c r="B12" t="s">
        <v>82</v>
      </c>
      <c r="C12" t="s">
        <v>83</v>
      </c>
      <c r="D12" t="s">
        <v>84</v>
      </c>
      <c r="E12" t="s">
        <v>208</v>
      </c>
      <c r="F12" t="s">
        <v>54</v>
      </c>
      <c r="G12" t="s">
        <v>85</v>
      </c>
      <c r="J12" t="s">
        <v>21</v>
      </c>
      <c r="K12" s="6" t="s">
        <v>192</v>
      </c>
    </row>
    <row r="13" spans="1:11">
      <c r="A13" t="s">
        <v>86</v>
      </c>
      <c r="B13" t="s">
        <v>87</v>
      </c>
      <c r="C13" t="s">
        <v>88</v>
      </c>
      <c r="D13" t="s">
        <v>89</v>
      </c>
      <c r="E13" t="s">
        <v>208</v>
      </c>
      <c r="F13" t="s">
        <v>90</v>
      </c>
      <c r="G13" t="s">
        <v>91</v>
      </c>
      <c r="H13" t="s">
        <v>28</v>
      </c>
      <c r="J13" t="s">
        <v>21</v>
      </c>
      <c r="K13" t="s">
        <v>21</v>
      </c>
    </row>
    <row r="14" spans="1:11">
      <c r="A14" t="s">
        <v>92</v>
      </c>
      <c r="B14" t="s">
        <v>93</v>
      </c>
      <c r="C14" t="s">
        <v>94</v>
      </c>
      <c r="D14" t="s">
        <v>95</v>
      </c>
      <c r="E14" t="s">
        <v>208</v>
      </c>
      <c r="F14" t="s">
        <v>72</v>
      </c>
      <c r="G14" t="s">
        <v>96</v>
      </c>
      <c r="H14" t="s">
        <v>97</v>
      </c>
      <c r="J14" t="s">
        <v>21</v>
      </c>
      <c r="K14" t="s">
        <v>21</v>
      </c>
    </row>
    <row r="15" spans="1:11">
      <c r="A15" t="s">
        <v>98</v>
      </c>
      <c r="B15" t="s">
        <v>99</v>
      </c>
      <c r="C15" t="s">
        <v>100</v>
      </c>
      <c r="D15" t="s">
        <v>101</v>
      </c>
      <c r="E15" t="s">
        <v>208</v>
      </c>
      <c r="F15" t="s">
        <v>54</v>
      </c>
      <c r="G15" t="s">
        <v>102</v>
      </c>
      <c r="H15" t="s">
        <v>61</v>
      </c>
      <c r="J15" t="s">
        <v>21</v>
      </c>
      <c r="K15" t="s">
        <v>21</v>
      </c>
    </row>
    <row r="16" spans="1:11">
      <c r="A16" t="s">
        <v>103</v>
      </c>
      <c r="B16" t="s">
        <v>104</v>
      </c>
      <c r="C16" t="s">
        <v>105</v>
      </c>
      <c r="D16" t="s">
        <v>106</v>
      </c>
      <c r="E16" t="s">
        <v>210</v>
      </c>
      <c r="F16" t="s">
        <v>26</v>
      </c>
      <c r="G16" t="s">
        <v>107</v>
      </c>
      <c r="H16" t="s">
        <v>61</v>
      </c>
      <c r="J16" t="s">
        <v>21</v>
      </c>
      <c r="K16" t="s">
        <v>21</v>
      </c>
    </row>
    <row r="17" spans="1:11">
      <c r="A17" t="s">
        <v>108</v>
      </c>
      <c r="B17" t="s">
        <v>109</v>
      </c>
      <c r="C17" t="s">
        <v>110</v>
      </c>
      <c r="D17" t="s">
        <v>111</v>
      </c>
      <c r="E17" t="s">
        <v>210</v>
      </c>
      <c r="F17" t="s">
        <v>112</v>
      </c>
      <c r="G17" t="s">
        <v>113</v>
      </c>
      <c r="H17" t="s">
        <v>34</v>
      </c>
      <c r="J17" t="s">
        <v>21</v>
      </c>
      <c r="K17" t="s">
        <v>21</v>
      </c>
    </row>
    <row r="18" spans="1:11">
      <c r="A18" t="s">
        <v>114</v>
      </c>
      <c r="B18" t="s">
        <v>115</v>
      </c>
      <c r="C18" t="s">
        <v>116</v>
      </c>
      <c r="D18" t="s">
        <v>117</v>
      </c>
      <c r="E18" t="s">
        <v>208</v>
      </c>
      <c r="F18" t="s">
        <v>112</v>
      </c>
      <c r="G18" t="s">
        <v>118</v>
      </c>
      <c r="J18" s="6" t="s">
        <v>119</v>
      </c>
      <c r="K18" s="6" t="s">
        <v>192</v>
      </c>
    </row>
    <row r="19" spans="1:11">
      <c r="A19" t="s">
        <v>120</v>
      </c>
      <c r="B19" t="s">
        <v>121</v>
      </c>
      <c r="C19" t="s">
        <v>122</v>
      </c>
      <c r="D19" t="s">
        <v>123</v>
      </c>
      <c r="E19" t="s">
        <v>209</v>
      </c>
      <c r="F19" t="s">
        <v>124</v>
      </c>
      <c r="G19" t="s">
        <v>125</v>
      </c>
      <c r="H19" t="s">
        <v>126</v>
      </c>
      <c r="I19" t="s">
        <v>127</v>
      </c>
      <c r="J19" t="s">
        <v>21</v>
      </c>
      <c r="K19" t="s">
        <v>21</v>
      </c>
    </row>
    <row r="20" spans="1:11">
      <c r="A20" t="s">
        <v>128</v>
      </c>
      <c r="B20" t="s">
        <v>129</v>
      </c>
      <c r="C20" t="s">
        <v>130</v>
      </c>
      <c r="D20" t="s">
        <v>131</v>
      </c>
      <c r="E20" t="s">
        <v>209</v>
      </c>
      <c r="J20" t="s">
        <v>21</v>
      </c>
      <c r="K20" s="6" t="s">
        <v>192</v>
      </c>
    </row>
    <row r="21" spans="1:11">
      <c r="A21" t="s">
        <v>132</v>
      </c>
      <c r="B21" t="s">
        <v>133</v>
      </c>
      <c r="C21" t="s">
        <v>134</v>
      </c>
      <c r="D21" t="s">
        <v>135</v>
      </c>
      <c r="E21" t="s">
        <v>210</v>
      </c>
      <c r="F21" t="s">
        <v>136</v>
      </c>
      <c r="G21" t="s">
        <v>137</v>
      </c>
      <c r="H21" t="s">
        <v>34</v>
      </c>
      <c r="I21" t="s">
        <v>138</v>
      </c>
      <c r="J21" t="s">
        <v>21</v>
      </c>
      <c r="K21" t="s">
        <v>21</v>
      </c>
    </row>
    <row r="22" spans="1:11">
      <c r="A22" t="s">
        <v>139</v>
      </c>
      <c r="B22" t="s">
        <v>140</v>
      </c>
      <c r="C22" t="s">
        <v>141</v>
      </c>
      <c r="D22" t="s">
        <v>142</v>
      </c>
      <c r="E22" t="s">
        <v>210</v>
      </c>
      <c r="F22" t="s">
        <v>40</v>
      </c>
      <c r="G22" t="s">
        <v>143</v>
      </c>
      <c r="H22" t="s">
        <v>49</v>
      </c>
      <c r="I22" t="s">
        <v>144</v>
      </c>
      <c r="J22" t="s">
        <v>21</v>
      </c>
      <c r="K22" t="s">
        <v>21</v>
      </c>
    </row>
    <row r="23" spans="1:11">
      <c r="A23" t="s">
        <v>145</v>
      </c>
      <c r="B23" t="s">
        <v>146</v>
      </c>
      <c r="C23" t="s">
        <v>147</v>
      </c>
      <c r="D23" t="s">
        <v>148</v>
      </c>
      <c r="E23" t="s">
        <v>209</v>
      </c>
      <c r="F23" t="s">
        <v>90</v>
      </c>
      <c r="G23" t="s">
        <v>149</v>
      </c>
      <c r="H23" t="s">
        <v>97</v>
      </c>
      <c r="J23" s="6" t="s">
        <v>119</v>
      </c>
      <c r="K23" t="s">
        <v>21</v>
      </c>
    </row>
    <row r="24" spans="1:11">
      <c r="A24" t="s">
        <v>150</v>
      </c>
      <c r="B24" t="s">
        <v>151</v>
      </c>
      <c r="C24" t="s">
        <v>152</v>
      </c>
      <c r="D24" t="s">
        <v>153</v>
      </c>
      <c r="E24" t="s">
        <v>210</v>
      </c>
      <c r="F24" t="s">
        <v>72</v>
      </c>
      <c r="G24" t="s">
        <v>154</v>
      </c>
      <c r="H24" t="s">
        <v>97</v>
      </c>
      <c r="I24" t="s">
        <v>155</v>
      </c>
      <c r="J24" t="s">
        <v>21</v>
      </c>
      <c r="K24" t="s">
        <v>21</v>
      </c>
    </row>
    <row r="25" spans="1:11">
      <c r="A25" t="s">
        <v>156</v>
      </c>
      <c r="B25" t="s">
        <v>157</v>
      </c>
      <c r="C25" t="s">
        <v>158</v>
      </c>
      <c r="D25" t="s">
        <v>159</v>
      </c>
      <c r="E25" t="s">
        <v>210</v>
      </c>
      <c r="F25" t="s">
        <v>72</v>
      </c>
      <c r="G25" t="s">
        <v>160</v>
      </c>
      <c r="H25" t="s">
        <v>126</v>
      </c>
      <c r="I25" t="s">
        <v>191</v>
      </c>
      <c r="J25" t="s">
        <v>21</v>
      </c>
      <c r="K25" s="6" t="s">
        <v>192</v>
      </c>
    </row>
    <row r="26" spans="1:11">
      <c r="A26" t="s">
        <v>161</v>
      </c>
      <c r="B26" t="s">
        <v>162</v>
      </c>
      <c r="C26" t="s">
        <v>163</v>
      </c>
      <c r="D26" t="s">
        <v>164</v>
      </c>
      <c r="E26" t="s">
        <v>208</v>
      </c>
      <c r="F26" t="s">
        <v>72</v>
      </c>
      <c r="G26" t="s">
        <v>165</v>
      </c>
      <c r="H26" t="s">
        <v>126</v>
      </c>
      <c r="I26" t="s">
        <v>166</v>
      </c>
      <c r="J26" t="s">
        <v>21</v>
      </c>
      <c r="K26" s="6" t="s">
        <v>192</v>
      </c>
    </row>
    <row r="27" spans="1:11">
      <c r="A27" t="s">
        <v>167</v>
      </c>
      <c r="B27" t="s">
        <v>168</v>
      </c>
      <c r="C27" t="s">
        <v>169</v>
      </c>
      <c r="D27" t="s">
        <v>170</v>
      </c>
      <c r="E27" t="s">
        <v>210</v>
      </c>
      <c r="F27" t="s">
        <v>47</v>
      </c>
      <c r="G27" t="s">
        <v>171</v>
      </c>
      <c r="H27" t="s">
        <v>172</v>
      </c>
      <c r="I27" t="s">
        <v>173</v>
      </c>
      <c r="J27" s="6" t="s">
        <v>119</v>
      </c>
      <c r="K27" t="s">
        <v>21</v>
      </c>
    </row>
    <row r="28" spans="1:11">
      <c r="A28" t="s">
        <v>174</v>
      </c>
      <c r="B28" t="s">
        <v>175</v>
      </c>
      <c r="C28" t="s">
        <v>176</v>
      </c>
      <c r="D28" t="s">
        <v>177</v>
      </c>
      <c r="E28" t="s">
        <v>208</v>
      </c>
      <c r="F28" t="s">
        <v>54</v>
      </c>
      <c r="G28" t="s">
        <v>178</v>
      </c>
      <c r="H28" t="s">
        <v>179</v>
      </c>
      <c r="I28" t="s">
        <v>180</v>
      </c>
      <c r="J28" t="s">
        <v>21</v>
      </c>
      <c r="K28" s="6" t="s">
        <v>192</v>
      </c>
    </row>
    <row r="29" spans="1:11">
      <c r="A29" t="s">
        <v>181</v>
      </c>
      <c r="B29" t="s">
        <v>182</v>
      </c>
      <c r="C29" t="s">
        <v>183</v>
      </c>
      <c r="D29" t="s">
        <v>184</v>
      </c>
      <c r="E29" t="s">
        <v>211</v>
      </c>
      <c r="G29" t="s">
        <v>185</v>
      </c>
      <c r="H29" t="s">
        <v>186</v>
      </c>
      <c r="I29" t="s">
        <v>187</v>
      </c>
      <c r="J29" t="s">
        <v>21</v>
      </c>
      <c r="K29" s="6" t="s">
        <v>192</v>
      </c>
    </row>
    <row r="32" spans="1:11">
      <c r="A32">
        <v>999</v>
      </c>
      <c r="B32" t="s">
        <v>10</v>
      </c>
      <c r="C32" t="s">
        <v>11</v>
      </c>
      <c r="D32" s="1" t="s">
        <v>12</v>
      </c>
    </row>
    <row r="38" spans="10:13">
      <c r="J38" t="s">
        <v>188</v>
      </c>
      <c r="K38" t="s">
        <v>189</v>
      </c>
      <c r="M38" t="s">
        <v>190</v>
      </c>
    </row>
  </sheetData>
  <sheetProtection algorithmName="SHA-512" hashValue="Mjy8KtCSqmC5wTxyp0gAa9nfIBeCR3oOjNxLCevBUu+r9z/kZcH0w7tAslVlIOiEqklt/sTpPLdo2hUTEkKThQ==" saltValue="ruJ+ZzQ9f5i5gXifBD/cCg==" spinCount="100000" sheet="1" objects="1" scenario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1935-4AE2-45B8-BF55-F7797C92437D}">
  <dimension ref="A1:M54"/>
  <sheetViews>
    <sheetView topLeftCell="A26" workbookViewId="0">
      <selection activeCell="G24" sqref="G24"/>
    </sheetView>
  </sheetViews>
  <sheetFormatPr baseColWidth="10" defaultColWidth="11.42578125" defaultRowHeight="15"/>
  <cols>
    <col min="1" max="1" width="6.5703125" customWidth="1"/>
    <col min="2" max="2" width="32" customWidth="1"/>
    <col min="3" max="3" width="14.42578125" customWidth="1"/>
    <col min="4" max="4" width="30.28515625" customWidth="1"/>
    <col min="5" max="5" width="19.140625" bestFit="1" customWidth="1"/>
    <col min="6" max="6" width="12.140625" bestFit="1" customWidth="1"/>
    <col min="7" max="7" width="36.140625" bestFit="1" customWidth="1"/>
    <col min="8" max="8" width="16.42578125" bestFit="1" customWidth="1"/>
    <col min="9" max="9" width="16.7109375" customWidth="1"/>
    <col min="10" max="10" width="9" customWidth="1"/>
    <col min="11" max="11" width="12.42578125" bestFit="1" customWidth="1"/>
  </cols>
  <sheetData>
    <row r="1" spans="1:11">
      <c r="A1" t="s">
        <v>0</v>
      </c>
      <c r="B1" t="s">
        <v>1</v>
      </c>
      <c r="C1" t="s">
        <v>3</v>
      </c>
      <c r="D1" t="s">
        <v>2</v>
      </c>
      <c r="E1" t="s">
        <v>206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20" t="s">
        <v>13</v>
      </c>
      <c r="B2" t="s">
        <v>14</v>
      </c>
      <c r="C2" t="s">
        <v>15</v>
      </c>
      <c r="D2" t="s">
        <v>16</v>
      </c>
      <c r="E2" t="s">
        <v>208</v>
      </c>
      <c r="F2" t="s">
        <v>17</v>
      </c>
      <c r="G2" t="s">
        <v>18</v>
      </c>
      <c r="H2" t="s">
        <v>19</v>
      </c>
      <c r="I2" t="s">
        <v>20</v>
      </c>
      <c r="J2" s="17" t="s">
        <v>21</v>
      </c>
      <c r="K2" t="s">
        <v>21</v>
      </c>
    </row>
    <row r="3" spans="1:11">
      <c r="A3" s="20" t="s">
        <v>22</v>
      </c>
      <c r="B3" t="s">
        <v>23</v>
      </c>
      <c r="C3" t="s">
        <v>24</v>
      </c>
      <c r="D3" t="s">
        <v>25</v>
      </c>
      <c r="E3" t="s">
        <v>209</v>
      </c>
      <c r="F3" t="s">
        <v>26</v>
      </c>
      <c r="G3" t="s">
        <v>27</v>
      </c>
      <c r="H3" t="s">
        <v>28</v>
      </c>
      <c r="J3" s="17" t="s">
        <v>21</v>
      </c>
      <c r="K3" t="s">
        <v>21</v>
      </c>
    </row>
    <row r="4" spans="1:11">
      <c r="A4" s="20" t="s">
        <v>29</v>
      </c>
      <c r="B4" t="s">
        <v>30</v>
      </c>
      <c r="C4" t="s">
        <v>31</v>
      </c>
      <c r="D4" t="s">
        <v>32</v>
      </c>
      <c r="E4" t="s">
        <v>210</v>
      </c>
      <c r="F4" t="s">
        <v>26</v>
      </c>
      <c r="G4" t="s">
        <v>33</v>
      </c>
      <c r="H4" t="s">
        <v>34</v>
      </c>
      <c r="I4" t="s">
        <v>35</v>
      </c>
      <c r="J4" s="17" t="s">
        <v>21</v>
      </c>
      <c r="K4" t="s">
        <v>21</v>
      </c>
    </row>
    <row r="5" spans="1:11">
      <c r="A5" s="20" t="s">
        <v>36</v>
      </c>
      <c r="B5" t="s">
        <v>37</v>
      </c>
      <c r="C5" t="s">
        <v>38</v>
      </c>
      <c r="D5" t="s">
        <v>39</v>
      </c>
      <c r="E5" t="s">
        <v>208</v>
      </c>
      <c r="F5" t="s">
        <v>40</v>
      </c>
      <c r="G5" t="s">
        <v>41</v>
      </c>
      <c r="I5" t="s">
        <v>42</v>
      </c>
      <c r="J5" t="s">
        <v>21</v>
      </c>
      <c r="K5" s="6" t="s">
        <v>192</v>
      </c>
    </row>
    <row r="6" spans="1:11">
      <c r="A6" s="20" t="s">
        <v>43</v>
      </c>
      <c r="B6" t="s">
        <v>44</v>
      </c>
      <c r="C6" t="s">
        <v>45</v>
      </c>
      <c r="D6" t="s">
        <v>46</v>
      </c>
      <c r="E6" t="s">
        <v>208</v>
      </c>
      <c r="F6" t="s">
        <v>47</v>
      </c>
      <c r="G6" t="s">
        <v>48</v>
      </c>
      <c r="H6" t="s">
        <v>49</v>
      </c>
      <c r="J6" s="17" t="s">
        <v>21</v>
      </c>
      <c r="K6" t="s">
        <v>21</v>
      </c>
    </row>
    <row r="7" spans="1:11">
      <c r="A7" s="20" t="s">
        <v>50</v>
      </c>
      <c r="B7" t="s">
        <v>51</v>
      </c>
      <c r="C7" t="s">
        <v>52</v>
      </c>
      <c r="D7" t="s">
        <v>53</v>
      </c>
      <c r="E7" t="s">
        <v>208</v>
      </c>
      <c r="F7" t="s">
        <v>54</v>
      </c>
      <c r="G7" t="s">
        <v>55</v>
      </c>
      <c r="J7" s="17" t="s">
        <v>21</v>
      </c>
      <c r="K7" s="6" t="s">
        <v>192</v>
      </c>
    </row>
    <row r="8" spans="1:11">
      <c r="A8" s="20" t="s">
        <v>56</v>
      </c>
      <c r="B8" t="s">
        <v>57</v>
      </c>
      <c r="C8" t="s">
        <v>58</v>
      </c>
      <c r="D8" t="s">
        <v>59</v>
      </c>
      <c r="E8" t="s">
        <v>210</v>
      </c>
      <c r="F8" t="s">
        <v>17</v>
      </c>
      <c r="G8" t="s">
        <v>60</v>
      </c>
      <c r="H8" t="s">
        <v>97</v>
      </c>
      <c r="I8" t="s">
        <v>207</v>
      </c>
      <c r="J8" t="s">
        <v>21</v>
      </c>
      <c r="K8" t="s">
        <v>21</v>
      </c>
    </row>
    <row r="9" spans="1:11">
      <c r="A9" s="20" t="s">
        <v>62</v>
      </c>
      <c r="B9" t="s">
        <v>63</v>
      </c>
      <c r="C9" t="s">
        <v>64</v>
      </c>
      <c r="D9" t="s">
        <v>65</v>
      </c>
      <c r="E9" t="s">
        <v>209</v>
      </c>
      <c r="F9" t="s">
        <v>40</v>
      </c>
      <c r="G9" t="s">
        <v>66</v>
      </c>
      <c r="H9" t="s">
        <v>28</v>
      </c>
      <c r="I9" t="s">
        <v>67</v>
      </c>
      <c r="J9" s="17" t="s">
        <v>21</v>
      </c>
      <c r="K9" t="s">
        <v>21</v>
      </c>
    </row>
    <row r="10" spans="1:11">
      <c r="A10" s="20" t="s">
        <v>68</v>
      </c>
      <c r="B10" t="s">
        <v>69</v>
      </c>
      <c r="C10" t="s">
        <v>70</v>
      </c>
      <c r="D10" t="s">
        <v>71</v>
      </c>
      <c r="E10" t="s">
        <v>208</v>
      </c>
      <c r="F10" t="s">
        <v>72</v>
      </c>
      <c r="G10" t="s">
        <v>73</v>
      </c>
      <c r="H10" t="s">
        <v>74</v>
      </c>
      <c r="I10" t="s">
        <v>75</v>
      </c>
      <c r="J10" s="17" t="s">
        <v>21</v>
      </c>
      <c r="K10" t="s">
        <v>21</v>
      </c>
    </row>
    <row r="11" spans="1:11">
      <c r="A11" s="20" t="s">
        <v>76</v>
      </c>
      <c r="B11" t="s">
        <v>77</v>
      </c>
      <c r="C11" t="s">
        <v>78</v>
      </c>
      <c r="D11" t="s">
        <v>79</v>
      </c>
      <c r="E11" t="s">
        <v>208</v>
      </c>
      <c r="F11" t="s">
        <v>54</v>
      </c>
      <c r="G11" t="s">
        <v>80</v>
      </c>
      <c r="H11" t="s">
        <v>34</v>
      </c>
      <c r="J11" s="17" t="s">
        <v>21</v>
      </c>
      <c r="K11" t="s">
        <v>21</v>
      </c>
    </row>
    <row r="12" spans="1:11">
      <c r="A12" s="20" t="s">
        <v>81</v>
      </c>
      <c r="B12" t="s">
        <v>82</v>
      </c>
      <c r="C12" t="s">
        <v>83</v>
      </c>
      <c r="D12" t="s">
        <v>84</v>
      </c>
      <c r="E12" t="s">
        <v>208</v>
      </c>
      <c r="F12" t="s">
        <v>54</v>
      </c>
      <c r="G12" t="s">
        <v>85</v>
      </c>
      <c r="J12" s="17" t="s">
        <v>21</v>
      </c>
      <c r="K12" s="6" t="s">
        <v>192</v>
      </c>
    </row>
    <row r="13" spans="1:11">
      <c r="A13" s="20" t="s">
        <v>86</v>
      </c>
      <c r="B13" t="s">
        <v>87</v>
      </c>
      <c r="C13" t="s">
        <v>88</v>
      </c>
      <c r="D13" t="s">
        <v>89</v>
      </c>
      <c r="E13" t="s">
        <v>208</v>
      </c>
      <c r="F13" t="s">
        <v>90</v>
      </c>
      <c r="G13" t="s">
        <v>91</v>
      </c>
      <c r="H13" t="s">
        <v>28</v>
      </c>
      <c r="J13" s="17" t="s">
        <v>21</v>
      </c>
      <c r="K13" t="s">
        <v>21</v>
      </c>
    </row>
    <row r="14" spans="1:11">
      <c r="A14" s="20" t="s">
        <v>92</v>
      </c>
      <c r="B14" t="s">
        <v>93</v>
      </c>
      <c r="C14" t="s">
        <v>94</v>
      </c>
      <c r="D14" t="s">
        <v>95</v>
      </c>
      <c r="E14" t="s">
        <v>208</v>
      </c>
      <c r="F14" t="s">
        <v>72</v>
      </c>
      <c r="G14" t="s">
        <v>96</v>
      </c>
      <c r="H14" t="s">
        <v>97</v>
      </c>
      <c r="J14" s="17" t="s">
        <v>21</v>
      </c>
      <c r="K14" t="s">
        <v>21</v>
      </c>
    </row>
    <row r="15" spans="1:11">
      <c r="A15" s="20" t="s">
        <v>98</v>
      </c>
      <c r="B15" t="s">
        <v>99</v>
      </c>
      <c r="C15" t="s">
        <v>100</v>
      </c>
      <c r="D15" t="s">
        <v>101</v>
      </c>
      <c r="E15" t="s">
        <v>208</v>
      </c>
      <c r="F15" t="s">
        <v>54</v>
      </c>
      <c r="G15" t="s">
        <v>102</v>
      </c>
      <c r="H15" t="s">
        <v>61</v>
      </c>
      <c r="J15" s="17" t="s">
        <v>21</v>
      </c>
      <c r="K15" t="s">
        <v>21</v>
      </c>
    </row>
    <row r="16" spans="1:11">
      <c r="A16" s="20" t="s">
        <v>103</v>
      </c>
      <c r="B16" t="s">
        <v>104</v>
      </c>
      <c r="C16" t="s">
        <v>105</v>
      </c>
      <c r="D16" t="s">
        <v>106</v>
      </c>
      <c r="E16" t="s">
        <v>210</v>
      </c>
      <c r="F16" t="s">
        <v>26</v>
      </c>
      <c r="G16" t="s">
        <v>107</v>
      </c>
      <c r="H16" t="s">
        <v>61</v>
      </c>
      <c r="J16" s="17" t="s">
        <v>21</v>
      </c>
      <c r="K16" t="s">
        <v>21</v>
      </c>
    </row>
    <row r="17" spans="1:11">
      <c r="A17" s="20" t="s">
        <v>108</v>
      </c>
      <c r="B17" t="s">
        <v>109</v>
      </c>
      <c r="C17" t="s">
        <v>110</v>
      </c>
      <c r="D17" t="s">
        <v>111</v>
      </c>
      <c r="E17" t="s">
        <v>210</v>
      </c>
      <c r="F17" t="s">
        <v>112</v>
      </c>
      <c r="G17" t="s">
        <v>113</v>
      </c>
      <c r="H17" t="s">
        <v>34</v>
      </c>
      <c r="J17" s="17" t="s">
        <v>21</v>
      </c>
      <c r="K17" t="s">
        <v>21</v>
      </c>
    </row>
    <row r="18" spans="1:11">
      <c r="A18" s="20" t="s">
        <v>114</v>
      </c>
      <c r="B18" t="s">
        <v>115</v>
      </c>
      <c r="C18" t="s">
        <v>116</v>
      </c>
      <c r="D18" t="s">
        <v>117</v>
      </c>
      <c r="E18" t="s">
        <v>208</v>
      </c>
      <c r="F18" t="s">
        <v>112</v>
      </c>
      <c r="G18" t="s">
        <v>118</v>
      </c>
      <c r="J18" s="6" t="s">
        <v>119</v>
      </c>
      <c r="K18" s="6" t="s">
        <v>192</v>
      </c>
    </row>
    <row r="19" spans="1:11">
      <c r="A19" s="20" t="s">
        <v>120</v>
      </c>
      <c r="B19" t="s">
        <v>121</v>
      </c>
      <c r="C19" t="s">
        <v>122</v>
      </c>
      <c r="D19" t="s">
        <v>123</v>
      </c>
      <c r="E19" t="s">
        <v>209</v>
      </c>
      <c r="F19" t="s">
        <v>124</v>
      </c>
      <c r="G19" t="s">
        <v>125</v>
      </c>
      <c r="H19" t="s">
        <v>126</v>
      </c>
      <c r="I19" t="s">
        <v>127</v>
      </c>
      <c r="J19" s="17" t="s">
        <v>21</v>
      </c>
      <c r="K19" t="s">
        <v>21</v>
      </c>
    </row>
    <row r="20" spans="1:11">
      <c r="A20" s="20" t="s">
        <v>128</v>
      </c>
      <c r="B20" t="s">
        <v>129</v>
      </c>
      <c r="C20" t="s">
        <v>130</v>
      </c>
      <c r="D20" t="s">
        <v>131</v>
      </c>
      <c r="E20" t="s">
        <v>209</v>
      </c>
      <c r="J20" s="17" t="s">
        <v>21</v>
      </c>
      <c r="K20" s="6" t="s">
        <v>192</v>
      </c>
    </row>
    <row r="21" spans="1:11">
      <c r="A21" s="20" t="s">
        <v>132</v>
      </c>
      <c r="B21" t="s">
        <v>133</v>
      </c>
      <c r="C21" t="s">
        <v>134</v>
      </c>
      <c r="D21" t="s">
        <v>135</v>
      </c>
      <c r="E21" t="s">
        <v>210</v>
      </c>
      <c r="F21" t="s">
        <v>136</v>
      </c>
      <c r="G21" t="s">
        <v>137</v>
      </c>
      <c r="H21" t="s">
        <v>34</v>
      </c>
      <c r="I21" t="s">
        <v>138</v>
      </c>
      <c r="J21" s="17" t="s">
        <v>21</v>
      </c>
      <c r="K21" t="s">
        <v>21</v>
      </c>
    </row>
    <row r="22" spans="1:11">
      <c r="A22" s="20" t="s">
        <v>139</v>
      </c>
      <c r="B22" t="s">
        <v>140</v>
      </c>
      <c r="C22" t="s">
        <v>141</v>
      </c>
      <c r="D22" t="s">
        <v>142</v>
      </c>
      <c r="E22" t="s">
        <v>210</v>
      </c>
      <c r="F22" t="s">
        <v>40</v>
      </c>
      <c r="G22" t="s">
        <v>143</v>
      </c>
      <c r="H22" t="s">
        <v>49</v>
      </c>
      <c r="I22" t="s">
        <v>144</v>
      </c>
      <c r="J22" s="17" t="s">
        <v>21</v>
      </c>
      <c r="K22" t="s">
        <v>21</v>
      </c>
    </row>
    <row r="23" spans="1:11">
      <c r="A23" s="20" t="s">
        <v>145</v>
      </c>
      <c r="B23" t="s">
        <v>146</v>
      </c>
      <c r="C23" t="s">
        <v>147</v>
      </c>
      <c r="D23" t="s">
        <v>148</v>
      </c>
      <c r="E23" t="s">
        <v>209</v>
      </c>
      <c r="F23" t="s">
        <v>90</v>
      </c>
      <c r="G23" t="s">
        <v>149</v>
      </c>
      <c r="H23" t="s">
        <v>97</v>
      </c>
      <c r="J23" s="57" t="s">
        <v>119</v>
      </c>
      <c r="K23" t="s">
        <v>21</v>
      </c>
    </row>
    <row r="24" spans="1:11">
      <c r="A24" s="20" t="s">
        <v>150</v>
      </c>
      <c r="B24" t="s">
        <v>151</v>
      </c>
      <c r="C24" t="s">
        <v>152</v>
      </c>
      <c r="D24" t="s">
        <v>153</v>
      </c>
      <c r="E24" t="s">
        <v>210</v>
      </c>
      <c r="F24" t="s">
        <v>72</v>
      </c>
      <c r="G24" t="s">
        <v>154</v>
      </c>
      <c r="H24" t="s">
        <v>97</v>
      </c>
      <c r="I24" t="s">
        <v>155</v>
      </c>
      <c r="J24" s="17" t="s">
        <v>21</v>
      </c>
      <c r="K24" t="s">
        <v>21</v>
      </c>
    </row>
    <row r="25" spans="1:11">
      <c r="A25" s="20" t="s">
        <v>156</v>
      </c>
      <c r="B25" t="s">
        <v>157</v>
      </c>
      <c r="C25" t="s">
        <v>158</v>
      </c>
      <c r="D25" t="s">
        <v>159</v>
      </c>
      <c r="E25" t="s">
        <v>210</v>
      </c>
      <c r="F25" t="s">
        <v>72</v>
      </c>
      <c r="G25" t="s">
        <v>160</v>
      </c>
      <c r="H25" t="s">
        <v>126</v>
      </c>
      <c r="I25" t="s">
        <v>191</v>
      </c>
      <c r="J25" s="17" t="s">
        <v>21</v>
      </c>
      <c r="K25" s="6" t="s">
        <v>192</v>
      </c>
    </row>
    <row r="26" spans="1:11">
      <c r="A26" s="20" t="s">
        <v>161</v>
      </c>
      <c r="B26" t="s">
        <v>162</v>
      </c>
      <c r="C26" t="s">
        <v>163</v>
      </c>
      <c r="D26" t="s">
        <v>164</v>
      </c>
      <c r="E26" t="s">
        <v>208</v>
      </c>
      <c r="F26" t="s">
        <v>72</v>
      </c>
      <c r="G26" t="s">
        <v>165</v>
      </c>
      <c r="H26" t="s">
        <v>126</v>
      </c>
      <c r="I26" t="s">
        <v>166</v>
      </c>
      <c r="J26" s="17" t="s">
        <v>21</v>
      </c>
      <c r="K26" s="6" t="s">
        <v>192</v>
      </c>
    </row>
    <row r="27" spans="1:11">
      <c r="A27" s="20" t="s">
        <v>167</v>
      </c>
      <c r="B27" t="s">
        <v>168</v>
      </c>
      <c r="C27" t="s">
        <v>169</v>
      </c>
      <c r="D27" t="s">
        <v>170</v>
      </c>
      <c r="E27" t="s">
        <v>210</v>
      </c>
      <c r="F27" t="s">
        <v>47</v>
      </c>
      <c r="G27" t="s">
        <v>171</v>
      </c>
      <c r="H27" t="s">
        <v>172</v>
      </c>
      <c r="I27" t="s">
        <v>173</v>
      </c>
      <c r="J27" s="17" t="s">
        <v>21</v>
      </c>
      <c r="K27" t="s">
        <v>21</v>
      </c>
    </row>
    <row r="28" spans="1:11">
      <c r="A28" s="20" t="s">
        <v>174</v>
      </c>
      <c r="B28" t="s">
        <v>175</v>
      </c>
      <c r="C28" t="s">
        <v>176</v>
      </c>
      <c r="D28" t="s">
        <v>177</v>
      </c>
      <c r="E28" t="s">
        <v>208</v>
      </c>
      <c r="F28" t="s">
        <v>54</v>
      </c>
      <c r="G28" t="s">
        <v>178</v>
      </c>
      <c r="H28" t="s">
        <v>179</v>
      </c>
      <c r="I28" t="s">
        <v>180</v>
      </c>
      <c r="J28" s="17" t="s">
        <v>21</v>
      </c>
      <c r="K28" s="6" t="s">
        <v>192</v>
      </c>
    </row>
    <row r="29" spans="1:11">
      <c r="A29" s="20" t="s">
        <v>181</v>
      </c>
      <c r="B29" t="s">
        <v>182</v>
      </c>
      <c r="C29" t="s">
        <v>183</v>
      </c>
      <c r="D29" t="s">
        <v>184</v>
      </c>
      <c r="E29" t="s">
        <v>211</v>
      </c>
      <c r="G29" t="s">
        <v>185</v>
      </c>
      <c r="H29" t="s">
        <v>61</v>
      </c>
      <c r="I29" t="s">
        <v>187</v>
      </c>
      <c r="J29" s="17" t="s">
        <v>21</v>
      </c>
      <c r="K29" s="6" t="s">
        <v>192</v>
      </c>
    </row>
    <row r="30" spans="1:11">
      <c r="A30" s="20">
        <v>32</v>
      </c>
      <c r="B30" t="s">
        <v>298</v>
      </c>
      <c r="C30" t="s">
        <v>299</v>
      </c>
      <c r="D30" t="s">
        <v>300</v>
      </c>
      <c r="E30" t="s">
        <v>210</v>
      </c>
      <c r="G30" t="s">
        <v>301</v>
      </c>
      <c r="H30" t="s">
        <v>61</v>
      </c>
      <c r="I30" s="25">
        <v>2726297</v>
      </c>
      <c r="J30" s="17" t="s">
        <v>21</v>
      </c>
      <c r="K30" t="s">
        <v>21</v>
      </c>
    </row>
    <row r="31" spans="1:11">
      <c r="A31" s="20">
        <v>33</v>
      </c>
      <c r="B31" t="s">
        <v>302</v>
      </c>
      <c r="C31" t="s">
        <v>303</v>
      </c>
      <c r="D31" t="s">
        <v>304</v>
      </c>
      <c r="E31" t="s">
        <v>210</v>
      </c>
      <c r="G31" t="s">
        <v>305</v>
      </c>
      <c r="H31" t="s">
        <v>126</v>
      </c>
      <c r="I31" s="25">
        <v>551678</v>
      </c>
      <c r="J31" s="17" t="s">
        <v>21</v>
      </c>
      <c r="K31" s="6" t="s">
        <v>192</v>
      </c>
    </row>
    <row r="32" spans="1:11">
      <c r="A32">
        <v>34</v>
      </c>
      <c r="B32" s="49" t="s">
        <v>313</v>
      </c>
      <c r="C32" t="s">
        <v>314</v>
      </c>
      <c r="D32" s="50" t="s">
        <v>315</v>
      </c>
      <c r="E32" t="s">
        <v>210</v>
      </c>
      <c r="G32" s="55" t="s">
        <v>349</v>
      </c>
      <c r="H32" t="s">
        <v>34</v>
      </c>
      <c r="K32" t="s">
        <v>21</v>
      </c>
    </row>
    <row r="33" spans="1:11">
      <c r="A33">
        <v>35</v>
      </c>
      <c r="B33" t="s">
        <v>339</v>
      </c>
      <c r="C33" t="s">
        <v>340</v>
      </c>
      <c r="D33" t="s">
        <v>341</v>
      </c>
      <c r="E33" t="s">
        <v>208</v>
      </c>
      <c r="G33" t="s">
        <v>348</v>
      </c>
      <c r="H33" t="s">
        <v>126</v>
      </c>
      <c r="J33" s="17" t="s">
        <v>21</v>
      </c>
      <c r="K33" s="6" t="s">
        <v>192</v>
      </c>
    </row>
    <row r="34" spans="1:11">
      <c r="A34">
        <v>36</v>
      </c>
      <c r="B34" t="s">
        <v>342</v>
      </c>
      <c r="C34" t="s">
        <v>343</v>
      </c>
      <c r="D34" t="s">
        <v>344</v>
      </c>
      <c r="E34" t="s">
        <v>210</v>
      </c>
      <c r="H34" t="s">
        <v>28</v>
      </c>
      <c r="I34" t="s">
        <v>350</v>
      </c>
      <c r="J34" s="17" t="s">
        <v>21</v>
      </c>
      <c r="K34" s="6" t="s">
        <v>192</v>
      </c>
    </row>
    <row r="35" spans="1:11">
      <c r="A35">
        <v>37</v>
      </c>
      <c r="B35" t="s">
        <v>345</v>
      </c>
      <c r="C35" t="s">
        <v>346</v>
      </c>
      <c r="D35" s="1" t="s">
        <v>347</v>
      </c>
      <c r="E35" t="s">
        <v>208</v>
      </c>
      <c r="G35" t="s">
        <v>385</v>
      </c>
      <c r="H35" t="s">
        <v>49</v>
      </c>
      <c r="I35" s="25">
        <v>1261819</v>
      </c>
      <c r="J35" s="17" t="s">
        <v>21</v>
      </c>
      <c r="K35" s="6" t="s">
        <v>192</v>
      </c>
    </row>
    <row r="36" spans="1:11">
      <c r="A36">
        <v>38</v>
      </c>
      <c r="B36" t="s">
        <v>370</v>
      </c>
      <c r="C36" t="s">
        <v>375</v>
      </c>
      <c r="D36" t="s">
        <v>376</v>
      </c>
      <c r="E36" t="s">
        <v>208</v>
      </c>
      <c r="G36" t="s">
        <v>380</v>
      </c>
      <c r="H36" t="s">
        <v>28</v>
      </c>
      <c r="J36" s="17" t="s">
        <v>21</v>
      </c>
      <c r="K36" s="6" t="s">
        <v>192</v>
      </c>
    </row>
    <row r="37" spans="1:11">
      <c r="A37">
        <v>40</v>
      </c>
      <c r="B37" t="s">
        <v>371</v>
      </c>
      <c r="C37" t="s">
        <v>377</v>
      </c>
      <c r="D37" s="1" t="s">
        <v>404</v>
      </c>
      <c r="E37" t="s">
        <v>210</v>
      </c>
      <c r="G37" t="s">
        <v>381</v>
      </c>
      <c r="H37" t="s">
        <v>28</v>
      </c>
      <c r="J37" s="57" t="s">
        <v>119</v>
      </c>
      <c r="K37" s="6" t="s">
        <v>192</v>
      </c>
    </row>
    <row r="38" spans="1:11">
      <c r="A38">
        <v>41</v>
      </c>
      <c r="B38" t="s">
        <v>372</v>
      </c>
      <c r="C38" t="s">
        <v>378</v>
      </c>
      <c r="D38" t="s">
        <v>379</v>
      </c>
      <c r="E38" t="s">
        <v>403</v>
      </c>
      <c r="G38" t="s">
        <v>383</v>
      </c>
      <c r="H38" t="s">
        <v>382</v>
      </c>
      <c r="J38" s="17" t="s">
        <v>21</v>
      </c>
      <c r="K38" s="6" t="s">
        <v>192</v>
      </c>
    </row>
    <row r="39" spans="1:11">
      <c r="A39">
        <v>42</v>
      </c>
      <c r="B39" t="s">
        <v>373</v>
      </c>
      <c r="C39" t="s">
        <v>396</v>
      </c>
      <c r="D39" t="s">
        <v>416</v>
      </c>
      <c r="E39" t="s">
        <v>209</v>
      </c>
      <c r="J39" s="57" t="s">
        <v>119</v>
      </c>
      <c r="K39" s="6" t="s">
        <v>192</v>
      </c>
    </row>
    <row r="40" spans="1:11">
      <c r="A40">
        <v>43</v>
      </c>
      <c r="B40" t="s">
        <v>374</v>
      </c>
      <c r="C40" t="s">
        <v>394</v>
      </c>
      <c r="D40" t="s">
        <v>395</v>
      </c>
      <c r="E40" t="s">
        <v>209</v>
      </c>
      <c r="G40" t="s">
        <v>384</v>
      </c>
      <c r="H40" t="s">
        <v>179</v>
      </c>
      <c r="I40">
        <v>68716</v>
      </c>
      <c r="J40" s="17" t="s">
        <v>21</v>
      </c>
      <c r="K40" s="6" t="s">
        <v>192</v>
      </c>
    </row>
    <row r="41" spans="1:11">
      <c r="A41">
        <v>44</v>
      </c>
      <c r="B41" t="s">
        <v>391</v>
      </c>
      <c r="C41" t="s">
        <v>392</v>
      </c>
      <c r="D41" t="s">
        <v>393</v>
      </c>
      <c r="E41" t="s">
        <v>210</v>
      </c>
      <c r="G41" t="s">
        <v>405</v>
      </c>
      <c r="H41" t="s">
        <v>49</v>
      </c>
      <c r="J41" s="17" t="s">
        <v>21</v>
      </c>
      <c r="K41" s="6" t="s">
        <v>192</v>
      </c>
    </row>
    <row r="42" spans="1:11">
      <c r="A42">
        <v>45</v>
      </c>
      <c r="B42" t="s">
        <v>397</v>
      </c>
      <c r="C42" t="s">
        <v>399</v>
      </c>
      <c r="D42" t="s">
        <v>400</v>
      </c>
      <c r="E42" t="s">
        <v>208</v>
      </c>
      <c r="J42" s="17" t="s">
        <v>21</v>
      </c>
      <c r="K42" s="6" t="s">
        <v>192</v>
      </c>
    </row>
    <row r="43" spans="1:11">
      <c r="A43">
        <v>46</v>
      </c>
      <c r="B43" t="s">
        <v>398</v>
      </c>
      <c r="C43" t="s">
        <v>401</v>
      </c>
      <c r="D43" t="s">
        <v>402</v>
      </c>
      <c r="E43" t="s">
        <v>210</v>
      </c>
      <c r="G43" t="s">
        <v>407</v>
      </c>
      <c r="H43" t="s">
        <v>406</v>
      </c>
      <c r="J43" s="17" t="s">
        <v>21</v>
      </c>
      <c r="K43" s="6" t="s">
        <v>192</v>
      </c>
    </row>
    <row r="44" spans="1:11">
      <c r="A44">
        <v>47</v>
      </c>
      <c r="B44" t="s">
        <v>414</v>
      </c>
      <c r="C44" t="s">
        <v>420</v>
      </c>
      <c r="D44" t="s">
        <v>431</v>
      </c>
      <c r="E44" t="s">
        <v>209</v>
      </c>
      <c r="J44" s="17" t="s">
        <v>21</v>
      </c>
      <c r="K44" s="6" t="s">
        <v>192</v>
      </c>
    </row>
    <row r="45" spans="1:11">
      <c r="A45">
        <v>48</v>
      </c>
      <c r="B45" t="s">
        <v>417</v>
      </c>
      <c r="C45" t="s">
        <v>419</v>
      </c>
      <c r="D45" t="s">
        <v>432</v>
      </c>
      <c r="E45" t="s">
        <v>208</v>
      </c>
      <c r="G45" t="s">
        <v>437</v>
      </c>
      <c r="H45" t="s">
        <v>434</v>
      </c>
      <c r="J45" s="17" t="s">
        <v>21</v>
      </c>
      <c r="K45" s="6" t="s">
        <v>192</v>
      </c>
    </row>
    <row r="46" spans="1:11" ht="30">
      <c r="A46">
        <v>49</v>
      </c>
      <c r="B46" t="s">
        <v>418</v>
      </c>
      <c r="C46" t="s">
        <v>421</v>
      </c>
      <c r="D46" s="1" t="s">
        <v>433</v>
      </c>
      <c r="E46" t="s">
        <v>208</v>
      </c>
      <c r="G46" t="s">
        <v>436</v>
      </c>
      <c r="H46" s="11" t="s">
        <v>435</v>
      </c>
      <c r="K46" s="6" t="s">
        <v>192</v>
      </c>
    </row>
    <row r="47" spans="1:11">
      <c r="A47">
        <v>50</v>
      </c>
      <c r="B47" t="s">
        <v>428</v>
      </c>
      <c r="C47" t="s">
        <v>430</v>
      </c>
      <c r="J47" s="17" t="s">
        <v>21</v>
      </c>
    </row>
    <row r="48" spans="1:11">
      <c r="A48">
        <v>51</v>
      </c>
      <c r="B48" t="s">
        <v>429</v>
      </c>
      <c r="J48" s="57" t="s">
        <v>119</v>
      </c>
    </row>
    <row r="49" spans="1:13">
      <c r="A49">
        <v>52</v>
      </c>
      <c r="B49" t="s">
        <v>448</v>
      </c>
      <c r="D49" s="1"/>
      <c r="J49" s="17" t="s">
        <v>21</v>
      </c>
    </row>
    <row r="50" spans="1:13">
      <c r="A50">
        <v>53</v>
      </c>
      <c r="B50" t="s">
        <v>449</v>
      </c>
      <c r="J50" s="57" t="s">
        <v>119</v>
      </c>
    </row>
    <row r="51" spans="1:13">
      <c r="A51">
        <v>54</v>
      </c>
      <c r="B51" t="s">
        <v>450</v>
      </c>
      <c r="J51" s="57" t="s">
        <v>119</v>
      </c>
    </row>
    <row r="54" spans="1:13">
      <c r="A54">
        <v>999</v>
      </c>
      <c r="B54" t="s">
        <v>10</v>
      </c>
      <c r="C54" t="s">
        <v>11</v>
      </c>
      <c r="D54" s="1" t="s">
        <v>12</v>
      </c>
      <c r="J54" t="s">
        <v>188</v>
      </c>
      <c r="K54" t="s">
        <v>189</v>
      </c>
      <c r="M54" t="s">
        <v>190</v>
      </c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0728-9E5B-4334-BF4A-0B3AF1A2FFFB}">
  <dimension ref="A1:J45"/>
  <sheetViews>
    <sheetView topLeftCell="A20" workbookViewId="0">
      <selection activeCell="M24" sqref="M23:M24"/>
    </sheetView>
  </sheetViews>
  <sheetFormatPr baseColWidth="10" defaultColWidth="11.42578125" defaultRowHeight="15"/>
  <cols>
    <col min="1" max="1" width="10.140625" bestFit="1" customWidth="1"/>
    <col min="2" max="2" width="10.28515625" style="3" bestFit="1" customWidth="1"/>
    <col min="3" max="3" width="8.140625" style="3" bestFit="1" customWidth="1"/>
    <col min="4" max="4" width="9.28515625" style="3" bestFit="1" customWidth="1"/>
    <col min="5" max="5" width="16.140625" style="25" customWidth="1"/>
    <col min="6" max="6" width="16.140625" customWidth="1"/>
  </cols>
  <sheetData>
    <row r="1" spans="1:10">
      <c r="A1" s="64" t="s">
        <v>266</v>
      </c>
      <c r="B1" s="65">
        <v>44470</v>
      </c>
      <c r="C1" s="67" t="s">
        <v>309</v>
      </c>
      <c r="D1" s="67"/>
      <c r="E1" s="43" t="s">
        <v>268</v>
      </c>
      <c r="F1" s="26" t="s">
        <v>294</v>
      </c>
      <c r="G1" s="26" t="s">
        <v>269</v>
      </c>
      <c r="H1" s="26" t="s">
        <v>270</v>
      </c>
      <c r="I1" s="26" t="s">
        <v>272</v>
      </c>
      <c r="J1" s="66">
        <v>347</v>
      </c>
    </row>
    <row r="2" spans="1:10">
      <c r="A2" s="64"/>
      <c r="B2" s="65"/>
      <c r="C2" s="32" t="s">
        <v>307</v>
      </c>
      <c r="D2" s="33" t="s">
        <v>308</v>
      </c>
      <c r="E2" s="43" t="s">
        <v>267</v>
      </c>
      <c r="F2" s="26"/>
      <c r="G2" s="26" t="s">
        <v>267</v>
      </c>
      <c r="H2" s="26" t="s">
        <v>271</v>
      </c>
      <c r="I2" s="26" t="s">
        <v>273</v>
      </c>
      <c r="J2" s="66"/>
    </row>
    <row r="3" spans="1:10">
      <c r="A3" s="27">
        <v>2</v>
      </c>
      <c r="B3" s="28" t="s">
        <v>306</v>
      </c>
      <c r="C3" s="28" t="s">
        <v>306</v>
      </c>
      <c r="D3" s="28" t="s">
        <v>306</v>
      </c>
      <c r="E3" s="44" t="s">
        <v>274</v>
      </c>
      <c r="F3" s="29"/>
      <c r="G3" s="29"/>
      <c r="H3" s="29"/>
      <c r="I3" s="29"/>
      <c r="J3" s="29"/>
    </row>
    <row r="4" spans="1:10">
      <c r="A4" s="27">
        <v>3</v>
      </c>
      <c r="B4" s="28" t="s">
        <v>306</v>
      </c>
      <c r="C4" s="28" t="s">
        <v>306</v>
      </c>
      <c r="D4" s="28" t="s">
        <v>306</v>
      </c>
      <c r="E4" s="44" t="s">
        <v>275</v>
      </c>
      <c r="F4" s="29"/>
      <c r="G4" s="29"/>
      <c r="H4" s="29"/>
      <c r="I4" s="29"/>
      <c r="J4" s="29"/>
    </row>
    <row r="5" spans="1:10">
      <c r="A5" s="27">
        <v>4</v>
      </c>
      <c r="B5" s="28" t="s">
        <v>306</v>
      </c>
      <c r="C5" s="28" t="s">
        <v>306</v>
      </c>
      <c r="D5" s="28" t="s">
        <v>306</v>
      </c>
      <c r="E5" s="44" t="s">
        <v>276</v>
      </c>
      <c r="F5" s="29"/>
      <c r="G5" s="29"/>
      <c r="H5" s="29"/>
      <c r="I5" s="29"/>
      <c r="J5" s="29"/>
    </row>
    <row r="6" spans="1:10">
      <c r="A6" s="27">
        <v>6</v>
      </c>
      <c r="B6" s="28" t="s">
        <v>306</v>
      </c>
      <c r="C6" s="28" t="s">
        <v>306</v>
      </c>
      <c r="D6" s="28" t="s">
        <v>306</v>
      </c>
      <c r="E6" s="44" t="s">
        <v>274</v>
      </c>
      <c r="F6" s="29"/>
      <c r="G6" s="29"/>
      <c r="H6" s="29"/>
      <c r="I6" s="29"/>
      <c r="J6" s="29"/>
    </row>
    <row r="7" spans="1:10">
      <c r="A7" s="27">
        <v>7</v>
      </c>
      <c r="B7" s="28" t="s">
        <v>306</v>
      </c>
      <c r="C7" s="28" t="s">
        <v>306</v>
      </c>
      <c r="D7" s="28" t="s">
        <v>306</v>
      </c>
      <c r="E7" s="44" t="s">
        <v>274</v>
      </c>
      <c r="F7" s="29"/>
      <c r="G7" s="29"/>
      <c r="H7" s="29"/>
      <c r="I7" s="29"/>
      <c r="J7" s="29"/>
    </row>
    <row r="8" spans="1:10" ht="18.75">
      <c r="A8" s="27">
        <v>8</v>
      </c>
      <c r="B8" s="40" t="s">
        <v>310</v>
      </c>
      <c r="C8" s="40" t="s">
        <v>310</v>
      </c>
      <c r="D8" s="40" t="s">
        <v>310</v>
      </c>
      <c r="E8" s="44" t="s">
        <v>274</v>
      </c>
      <c r="F8" s="41" t="s">
        <v>295</v>
      </c>
      <c r="G8" s="29"/>
      <c r="H8" s="29"/>
      <c r="I8" s="29"/>
      <c r="J8" s="29"/>
    </row>
    <row r="9" spans="1:10">
      <c r="A9" s="27">
        <v>9</v>
      </c>
      <c r="B9" s="28" t="s">
        <v>306</v>
      </c>
      <c r="C9" s="28" t="s">
        <v>306</v>
      </c>
      <c r="D9" s="28" t="s">
        <v>306</v>
      </c>
      <c r="E9" s="44" t="s">
        <v>276</v>
      </c>
      <c r="F9" s="42"/>
      <c r="G9" s="29"/>
      <c r="H9" s="29"/>
      <c r="I9" s="29"/>
      <c r="J9" s="29"/>
    </row>
    <row r="10" spans="1:10">
      <c r="A10" s="27">
        <v>10</v>
      </c>
      <c r="B10" s="28" t="s">
        <v>306</v>
      </c>
      <c r="C10" s="28" t="s">
        <v>306</v>
      </c>
      <c r="D10" s="28" t="s">
        <v>306</v>
      </c>
      <c r="E10" s="44" t="s">
        <v>275</v>
      </c>
      <c r="F10" s="42"/>
      <c r="G10" s="29"/>
      <c r="H10" s="29"/>
      <c r="I10" s="29"/>
      <c r="J10" s="29"/>
    </row>
    <row r="11" spans="1:10">
      <c r="A11" s="27">
        <v>11</v>
      </c>
      <c r="B11" s="28" t="s">
        <v>306</v>
      </c>
      <c r="C11" s="28" t="s">
        <v>306</v>
      </c>
      <c r="D11" s="28" t="s">
        <v>306</v>
      </c>
      <c r="E11" s="44" t="s">
        <v>274</v>
      </c>
      <c r="F11" s="42"/>
      <c r="G11" s="29"/>
      <c r="H11" s="29"/>
      <c r="I11" s="29"/>
      <c r="J11" s="29"/>
    </row>
    <row r="12" spans="1:10">
      <c r="A12" s="27">
        <v>12</v>
      </c>
      <c r="B12" s="28" t="s">
        <v>306</v>
      </c>
      <c r="C12" s="28" t="s">
        <v>306</v>
      </c>
      <c r="D12" s="28" t="s">
        <v>306</v>
      </c>
      <c r="E12" s="44" t="s">
        <v>274</v>
      </c>
      <c r="F12" s="42"/>
      <c r="G12" s="29"/>
      <c r="H12" s="29"/>
      <c r="I12" s="29"/>
      <c r="J12" s="29"/>
    </row>
    <row r="13" spans="1:10">
      <c r="A13" s="27">
        <v>13</v>
      </c>
      <c r="B13" s="28" t="s">
        <v>306</v>
      </c>
      <c r="C13" s="28" t="s">
        <v>306</v>
      </c>
      <c r="D13" s="28" t="s">
        <v>306</v>
      </c>
      <c r="E13" s="44" t="s">
        <v>274</v>
      </c>
      <c r="F13" s="41" t="s">
        <v>296</v>
      </c>
      <c r="G13" s="29"/>
      <c r="H13" s="29"/>
      <c r="I13" s="29"/>
      <c r="J13" s="29"/>
    </row>
    <row r="14" spans="1:10">
      <c r="A14" s="27">
        <v>14</v>
      </c>
      <c r="B14" s="28" t="s">
        <v>306</v>
      </c>
      <c r="C14" s="28" t="s">
        <v>306</v>
      </c>
      <c r="D14" s="28" t="s">
        <v>306</v>
      </c>
      <c r="E14" s="44" t="s">
        <v>274</v>
      </c>
      <c r="F14" s="29"/>
      <c r="G14" s="29"/>
      <c r="H14" s="29"/>
      <c r="I14" s="29"/>
      <c r="J14" s="29"/>
    </row>
    <row r="15" spans="1:10">
      <c r="A15" s="27">
        <v>15</v>
      </c>
      <c r="B15" s="28" t="s">
        <v>306</v>
      </c>
      <c r="C15" s="39" t="s">
        <v>277</v>
      </c>
      <c r="D15" s="39" t="s">
        <v>277</v>
      </c>
      <c r="E15" s="44" t="s">
        <v>274</v>
      </c>
      <c r="F15" s="30" t="s">
        <v>297</v>
      </c>
      <c r="G15" s="30" t="s">
        <v>277</v>
      </c>
      <c r="H15" s="29"/>
      <c r="I15" s="29"/>
      <c r="J15" s="29"/>
    </row>
    <row r="16" spans="1:10">
      <c r="A16" s="27">
        <v>16</v>
      </c>
      <c r="B16" s="28" t="s">
        <v>306</v>
      </c>
      <c r="C16" s="28" t="s">
        <v>306</v>
      </c>
      <c r="D16" s="28" t="s">
        <v>306</v>
      </c>
      <c r="E16" s="44" t="s">
        <v>274</v>
      </c>
      <c r="F16" s="29"/>
      <c r="G16" s="29"/>
      <c r="H16" s="29"/>
      <c r="I16" s="29"/>
      <c r="J16" s="29"/>
    </row>
    <row r="17" spans="1:10">
      <c r="A17" s="27">
        <v>17</v>
      </c>
      <c r="B17" s="28" t="s">
        <v>306</v>
      </c>
      <c r="C17" s="28" t="s">
        <v>306</v>
      </c>
      <c r="D17" s="28" t="s">
        <v>306</v>
      </c>
      <c r="E17" s="44" t="s">
        <v>276</v>
      </c>
      <c r="F17" s="29"/>
      <c r="G17" s="29"/>
      <c r="H17" s="29"/>
      <c r="I17" s="29"/>
      <c r="J17" s="29"/>
    </row>
    <row r="18" spans="1:10">
      <c r="A18" s="26">
        <v>18</v>
      </c>
      <c r="B18" s="28" t="s">
        <v>306</v>
      </c>
      <c r="C18" s="28" t="s">
        <v>306</v>
      </c>
      <c r="D18" s="28" t="s">
        <v>306</v>
      </c>
      <c r="E18" s="44" t="s">
        <v>276</v>
      </c>
      <c r="F18" s="29"/>
      <c r="G18" s="29"/>
      <c r="H18" s="29"/>
      <c r="I18" s="29"/>
      <c r="J18" s="29"/>
    </row>
    <row r="19" spans="1:10">
      <c r="A19" s="27">
        <v>19</v>
      </c>
      <c r="B19" s="28" t="s">
        <v>306</v>
      </c>
      <c r="C19" s="28" t="s">
        <v>306</v>
      </c>
      <c r="D19" s="28" t="s">
        <v>306</v>
      </c>
      <c r="E19" s="44" t="s">
        <v>274</v>
      </c>
      <c r="F19" s="29"/>
      <c r="G19" s="29"/>
      <c r="H19" s="29"/>
      <c r="I19" s="29"/>
      <c r="J19" s="29"/>
    </row>
    <row r="20" spans="1:10">
      <c r="A20" s="27">
        <v>20</v>
      </c>
      <c r="B20" s="28" t="s">
        <v>306</v>
      </c>
      <c r="C20" s="28" t="s">
        <v>306</v>
      </c>
      <c r="D20" s="28" t="s">
        <v>306</v>
      </c>
      <c r="E20" s="44" t="s">
        <v>275</v>
      </c>
      <c r="F20" s="29"/>
      <c r="G20" s="29"/>
      <c r="H20" s="29"/>
      <c r="I20" s="29"/>
      <c r="J20" s="29"/>
    </row>
    <row r="21" spans="1:10">
      <c r="A21" s="26">
        <v>21</v>
      </c>
      <c r="B21" s="28" t="s">
        <v>306</v>
      </c>
      <c r="C21" s="28" t="s">
        <v>306</v>
      </c>
      <c r="D21" s="28" t="s">
        <v>306</v>
      </c>
      <c r="E21" s="44" t="s">
        <v>275</v>
      </c>
      <c r="F21" s="29"/>
      <c r="G21" s="29"/>
      <c r="H21" s="29"/>
      <c r="I21" s="29"/>
      <c r="J21" s="29"/>
    </row>
    <row r="22" spans="1:10">
      <c r="A22" s="26">
        <v>22</v>
      </c>
      <c r="B22" s="28" t="s">
        <v>306</v>
      </c>
      <c r="C22" s="28" t="s">
        <v>306</v>
      </c>
      <c r="D22" s="28" t="s">
        <v>306</v>
      </c>
      <c r="E22" s="44" t="s">
        <v>276</v>
      </c>
      <c r="F22" s="29"/>
      <c r="G22" s="29"/>
      <c r="H22" s="29"/>
      <c r="I22" s="29"/>
      <c r="J22" s="29"/>
    </row>
    <row r="23" spans="1:10">
      <c r="A23" s="26">
        <v>24</v>
      </c>
      <c r="B23" s="28" t="s">
        <v>306</v>
      </c>
      <c r="C23" s="28" t="s">
        <v>306</v>
      </c>
      <c r="D23" s="28" t="s">
        <v>306</v>
      </c>
      <c r="E23" s="44" t="s">
        <v>276</v>
      </c>
      <c r="F23" s="29"/>
      <c r="G23" s="29"/>
      <c r="H23" s="29"/>
      <c r="I23" s="29"/>
      <c r="J23" s="29"/>
    </row>
    <row r="24" spans="1:10">
      <c r="A24" s="26">
        <v>25</v>
      </c>
      <c r="B24" s="28" t="s">
        <v>306</v>
      </c>
      <c r="C24" s="28" t="s">
        <v>306</v>
      </c>
      <c r="D24" s="28" t="s">
        <v>306</v>
      </c>
      <c r="E24" s="44" t="s">
        <v>275</v>
      </c>
      <c r="F24" s="29"/>
      <c r="G24" s="29"/>
      <c r="H24" s="29"/>
      <c r="I24" s="29"/>
      <c r="J24" s="29"/>
    </row>
    <row r="25" spans="1:10">
      <c r="A25" s="26">
        <v>26</v>
      </c>
      <c r="B25" s="28" t="s">
        <v>306</v>
      </c>
      <c r="C25" s="28" t="s">
        <v>306</v>
      </c>
      <c r="D25" s="28" t="s">
        <v>306</v>
      </c>
      <c r="E25" s="44" t="s">
        <v>276</v>
      </c>
      <c r="F25" s="29"/>
      <c r="G25" s="29"/>
      <c r="H25" s="29"/>
      <c r="I25" s="29"/>
      <c r="J25" s="29"/>
    </row>
    <row r="26" spans="1:10">
      <c r="A26" s="26">
        <v>27</v>
      </c>
      <c r="B26" s="28" t="s">
        <v>306</v>
      </c>
      <c r="C26" s="28" t="s">
        <v>306</v>
      </c>
      <c r="D26" s="28" t="s">
        <v>306</v>
      </c>
      <c r="E26" s="44" t="s">
        <v>276</v>
      </c>
      <c r="F26" s="29"/>
      <c r="G26" s="29"/>
      <c r="H26" s="29"/>
      <c r="I26" s="29"/>
      <c r="J26" s="29"/>
    </row>
    <row r="27" spans="1:10">
      <c r="A27" s="26">
        <v>28</v>
      </c>
      <c r="B27" s="28" t="s">
        <v>306</v>
      </c>
      <c r="C27" s="28" t="s">
        <v>306</v>
      </c>
      <c r="D27" s="28" t="s">
        <v>306</v>
      </c>
      <c r="E27" s="44" t="s">
        <v>274</v>
      </c>
      <c r="F27" s="29"/>
      <c r="G27" s="29"/>
      <c r="H27" s="29"/>
      <c r="I27" s="29"/>
      <c r="J27" s="29"/>
    </row>
    <row r="28" spans="1:10">
      <c r="A28" s="26">
        <v>29</v>
      </c>
      <c r="B28" s="28" t="s">
        <v>306</v>
      </c>
      <c r="C28" s="28" t="s">
        <v>306</v>
      </c>
      <c r="D28" s="28" t="s">
        <v>306</v>
      </c>
      <c r="E28" s="44" t="s">
        <v>276</v>
      </c>
      <c r="F28" s="29"/>
      <c r="G28" s="29"/>
      <c r="H28" s="29"/>
      <c r="I28" s="29"/>
      <c r="J28" s="29"/>
    </row>
    <row r="29" spans="1:10">
      <c r="A29" s="26">
        <v>30</v>
      </c>
      <c r="B29" s="28" t="s">
        <v>306</v>
      </c>
      <c r="C29" s="28" t="s">
        <v>306</v>
      </c>
      <c r="D29" s="28" t="s">
        <v>306</v>
      </c>
      <c r="E29" s="44" t="s">
        <v>274</v>
      </c>
      <c r="F29" s="29"/>
      <c r="G29" s="26"/>
      <c r="H29" s="26"/>
      <c r="I29" s="26"/>
      <c r="J29" s="26"/>
    </row>
    <row r="30" spans="1:10">
      <c r="A30" s="26">
        <v>31</v>
      </c>
      <c r="B30" s="28" t="s">
        <v>306</v>
      </c>
      <c r="C30" s="28" t="s">
        <v>306</v>
      </c>
      <c r="D30" s="28" t="s">
        <v>306</v>
      </c>
      <c r="E30" s="44" t="s">
        <v>278</v>
      </c>
      <c r="F30" s="29"/>
      <c r="G30" s="31"/>
      <c r="H30" s="26"/>
      <c r="I30" s="26"/>
      <c r="J30" s="26"/>
    </row>
    <row r="31" spans="1:10">
      <c r="A31" s="26">
        <v>32</v>
      </c>
      <c r="B31" s="28" t="s">
        <v>306</v>
      </c>
      <c r="C31" s="28" t="s">
        <v>306</v>
      </c>
      <c r="D31" s="28" t="s">
        <v>306</v>
      </c>
      <c r="E31" s="44" t="s">
        <v>276</v>
      </c>
      <c r="F31" s="29"/>
      <c r="G31" s="26"/>
      <c r="H31" s="26"/>
      <c r="I31" s="26"/>
      <c r="J31" s="26"/>
    </row>
    <row r="32" spans="1:10">
      <c r="A32" s="26">
        <v>33</v>
      </c>
      <c r="B32" s="28" t="s">
        <v>306</v>
      </c>
      <c r="C32" s="28" t="s">
        <v>306</v>
      </c>
      <c r="D32" s="28" t="s">
        <v>306</v>
      </c>
      <c r="E32" s="44" t="s">
        <v>276</v>
      </c>
      <c r="F32" s="29"/>
      <c r="G32" s="26"/>
      <c r="H32" s="26"/>
      <c r="I32" s="26"/>
      <c r="J32" s="26"/>
    </row>
    <row r="33" spans="1:10">
      <c r="A33" s="26"/>
      <c r="B33" s="33"/>
      <c r="C33" s="33"/>
      <c r="D33" s="33"/>
      <c r="E33" s="43"/>
      <c r="F33" s="26"/>
      <c r="G33" s="26"/>
      <c r="H33" s="26"/>
      <c r="I33" s="26"/>
      <c r="J33" s="26"/>
    </row>
    <row r="34" spans="1:10">
      <c r="A34" s="26"/>
      <c r="B34" s="33"/>
      <c r="C34" s="33"/>
      <c r="D34" s="33"/>
      <c r="E34" s="43"/>
      <c r="F34" s="26"/>
      <c r="G34" s="26"/>
      <c r="H34" s="26"/>
      <c r="I34" s="26"/>
      <c r="J34" s="26"/>
    </row>
    <row r="35" spans="1:10">
      <c r="A35" s="26" t="s">
        <v>279</v>
      </c>
      <c r="B35" s="37" t="s">
        <v>280</v>
      </c>
      <c r="C35" s="28" t="s">
        <v>306</v>
      </c>
      <c r="E35" s="44" t="s">
        <v>274</v>
      </c>
      <c r="F35" s="38">
        <v>30</v>
      </c>
      <c r="G35" s="26"/>
      <c r="H35" s="26"/>
      <c r="I35" s="26"/>
      <c r="J35" s="26"/>
    </row>
    <row r="36" spans="1:10">
      <c r="A36" s="26" t="s">
        <v>284</v>
      </c>
      <c r="B36" s="37" t="s">
        <v>285</v>
      </c>
      <c r="C36" s="28" t="s">
        <v>306</v>
      </c>
      <c r="E36" s="44" t="s">
        <v>293</v>
      </c>
      <c r="F36" s="34">
        <v>54.3</v>
      </c>
      <c r="G36" s="26"/>
      <c r="H36" s="26"/>
      <c r="I36" s="26"/>
      <c r="J36" s="26"/>
    </row>
    <row r="37" spans="1:10">
      <c r="A37" s="26" t="s">
        <v>286</v>
      </c>
      <c r="B37" s="37" t="s">
        <v>287</v>
      </c>
      <c r="C37" s="28" t="s">
        <v>306</v>
      </c>
      <c r="D37" s="28" t="s">
        <v>306</v>
      </c>
      <c r="E37" s="44" t="s">
        <v>276</v>
      </c>
      <c r="F37" s="38">
        <v>50</v>
      </c>
      <c r="G37" s="26"/>
      <c r="H37" s="26"/>
      <c r="I37" s="26"/>
      <c r="J37" s="26"/>
    </row>
    <row r="38" spans="1:10">
      <c r="A38" s="26" t="s">
        <v>288</v>
      </c>
      <c r="B38" s="37" t="s">
        <v>289</v>
      </c>
      <c r="C38" s="28" t="s">
        <v>306</v>
      </c>
      <c r="E38" s="44" t="s">
        <v>276</v>
      </c>
      <c r="F38" s="38">
        <v>255</v>
      </c>
      <c r="G38" s="26"/>
      <c r="H38" s="26"/>
      <c r="I38" s="26"/>
      <c r="J38" s="26"/>
    </row>
    <row r="39" spans="1:10">
      <c r="A39" s="27" t="s">
        <v>290</v>
      </c>
      <c r="B39" s="37" t="s">
        <v>291</v>
      </c>
      <c r="C39" s="28" t="s">
        <v>306</v>
      </c>
      <c r="E39" s="44" t="s">
        <v>276</v>
      </c>
      <c r="F39" s="34">
        <v>100</v>
      </c>
      <c r="G39" s="26"/>
      <c r="H39" s="26"/>
      <c r="I39" s="26"/>
      <c r="J39" s="26"/>
    </row>
    <row r="40" spans="1:10" ht="90">
      <c r="A40" s="26" t="s">
        <v>281</v>
      </c>
      <c r="B40" s="45" t="s">
        <v>282</v>
      </c>
      <c r="C40" s="35"/>
      <c r="D40" s="34">
        <v>25</v>
      </c>
      <c r="E40" s="44" t="s">
        <v>274</v>
      </c>
      <c r="F40" s="29"/>
      <c r="G40" s="46" t="s">
        <v>283</v>
      </c>
      <c r="H40" s="26"/>
      <c r="I40" s="26"/>
      <c r="J40" s="26"/>
    </row>
    <row r="41" spans="1:10">
      <c r="A41" s="27"/>
      <c r="B41" s="35"/>
      <c r="C41" s="35"/>
      <c r="D41" s="34"/>
      <c r="E41" s="44"/>
      <c r="F41" s="29"/>
      <c r="G41" s="26"/>
      <c r="H41" s="26"/>
      <c r="I41" s="26"/>
      <c r="J41" s="26"/>
    </row>
    <row r="42" spans="1:10">
      <c r="A42" s="27"/>
      <c r="B42" s="35"/>
      <c r="C42" s="35"/>
      <c r="D42" s="34"/>
      <c r="E42" s="44"/>
      <c r="F42" s="29"/>
      <c r="G42" s="26"/>
      <c r="H42" s="26"/>
      <c r="I42" s="26"/>
      <c r="J42" s="26"/>
    </row>
    <row r="43" spans="1:10">
      <c r="A43" s="27" t="s">
        <v>292</v>
      </c>
      <c r="B43" s="28" t="s">
        <v>306</v>
      </c>
      <c r="C43" s="28" t="s">
        <v>306</v>
      </c>
      <c r="D43" s="28" t="s">
        <v>306</v>
      </c>
      <c r="E43" s="44" t="s">
        <v>274</v>
      </c>
      <c r="F43" s="29"/>
      <c r="G43" s="26"/>
      <c r="H43" s="26"/>
      <c r="I43" s="26"/>
      <c r="J43" s="26"/>
    </row>
    <row r="44" spans="1:10">
      <c r="A44" s="27"/>
      <c r="B44" s="35"/>
      <c r="C44" s="35"/>
      <c r="D44" s="33"/>
      <c r="E44" s="43"/>
      <c r="F44" s="26"/>
      <c r="G44" s="26"/>
      <c r="H44" s="26"/>
      <c r="I44" s="26"/>
      <c r="J44" s="26"/>
    </row>
    <row r="45" spans="1:10">
      <c r="A45" s="27"/>
      <c r="B45" s="35"/>
      <c r="C45" s="35"/>
      <c r="D45" s="33"/>
      <c r="E45" s="43"/>
      <c r="F45" s="26"/>
      <c r="G45" s="26"/>
      <c r="H45" s="26"/>
      <c r="I45" s="26"/>
      <c r="J45" s="26"/>
    </row>
  </sheetData>
  <mergeCells count="4">
    <mergeCell ref="A1:A2"/>
    <mergeCell ref="B1:B2"/>
    <mergeCell ref="J1:J2"/>
    <mergeCell ref="C1:D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5342BF-61BB-4AA9-ABDA-FFBDE35FAA61}">
          <x14:formula1>
            <xm:f>Hoja4!$A$1:$A$4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36B1-9A36-48CD-981A-737ECA66228D}">
  <dimension ref="A2:A4"/>
  <sheetViews>
    <sheetView workbookViewId="0">
      <selection activeCell="A2" sqref="A2"/>
    </sheetView>
  </sheetViews>
  <sheetFormatPr baseColWidth="10" defaultColWidth="11.42578125" defaultRowHeight="15"/>
  <sheetData>
    <row r="2" spans="1:1" ht="18.75">
      <c r="A2" s="40" t="s">
        <v>310</v>
      </c>
    </row>
    <row r="3" spans="1:1">
      <c r="A3" s="28" t="s">
        <v>306</v>
      </c>
    </row>
    <row r="4" spans="1:1">
      <c r="A4" s="36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D238-4E59-4712-A066-DF0FFD60E064}">
  <dimension ref="A1:S314"/>
  <sheetViews>
    <sheetView tabSelected="1" topLeftCell="A279" zoomScale="90" zoomScaleNormal="90" workbookViewId="0">
      <selection activeCell="J297" sqref="J297"/>
    </sheetView>
  </sheetViews>
  <sheetFormatPr baseColWidth="10" defaultColWidth="11.42578125" defaultRowHeight="15"/>
  <cols>
    <col min="1" max="1" width="35.7109375" bestFit="1" customWidth="1"/>
    <col min="2" max="2" width="11.5703125" customWidth="1"/>
    <col min="3" max="3" width="10.42578125" customWidth="1"/>
    <col min="4" max="4" width="13" bestFit="1" customWidth="1"/>
    <col min="5" max="5" width="13.5703125" bestFit="1" customWidth="1"/>
    <col min="6" max="6" width="8.85546875" bestFit="1" customWidth="1"/>
    <col min="7" max="7" width="11" customWidth="1"/>
    <col min="8" max="8" width="16.42578125" bestFit="1" customWidth="1"/>
    <col min="9" max="9" width="15.140625" bestFit="1" customWidth="1"/>
    <col min="10" max="10" width="10.5703125" customWidth="1"/>
    <col min="11" max="11" width="18.5703125" bestFit="1" customWidth="1"/>
    <col min="12" max="12" width="15.28515625" customWidth="1"/>
    <col min="13" max="13" width="14.85546875" bestFit="1" customWidth="1"/>
    <col min="14" max="14" width="15.28515625" bestFit="1" customWidth="1"/>
    <col min="15" max="15" width="14.28515625" bestFit="1" customWidth="1"/>
    <col min="16" max="16" width="13.7109375" customWidth="1"/>
    <col min="17" max="17" width="13.42578125" bestFit="1" customWidth="1"/>
    <col min="18" max="18" width="21" bestFit="1" customWidth="1"/>
  </cols>
  <sheetData>
    <row r="1" spans="1:19" s="47" customFormat="1" ht="30">
      <c r="A1" s="47" t="s">
        <v>193</v>
      </c>
      <c r="B1" s="47" t="s">
        <v>200</v>
      </c>
      <c r="C1" s="47" t="s">
        <v>194</v>
      </c>
      <c r="D1" s="47" t="s">
        <v>195</v>
      </c>
      <c r="E1" s="47" t="s">
        <v>213</v>
      </c>
      <c r="F1" s="47" t="s">
        <v>214</v>
      </c>
      <c r="G1" s="47" t="s">
        <v>196</v>
      </c>
      <c r="H1" s="48" t="s">
        <v>253</v>
      </c>
      <c r="I1" s="48" t="s">
        <v>254</v>
      </c>
      <c r="J1" s="47" t="s">
        <v>197</v>
      </c>
      <c r="K1" s="47" t="s">
        <v>198</v>
      </c>
      <c r="L1" s="48" t="s">
        <v>255</v>
      </c>
      <c r="M1" s="48" t="s">
        <v>256</v>
      </c>
      <c r="N1" s="48" t="s">
        <v>257</v>
      </c>
      <c r="O1" s="48" t="s">
        <v>205</v>
      </c>
      <c r="P1" s="47" t="s">
        <v>199</v>
      </c>
      <c r="Q1" s="47" t="s">
        <v>204</v>
      </c>
      <c r="R1" s="48" t="s">
        <v>263</v>
      </c>
      <c r="S1" s="48" t="s">
        <v>312</v>
      </c>
    </row>
    <row r="2" spans="1:19">
      <c r="A2" t="s">
        <v>215</v>
      </c>
      <c r="B2" s="2">
        <v>43986</v>
      </c>
      <c r="C2" t="s">
        <v>201</v>
      </c>
      <c r="D2" t="s">
        <v>202</v>
      </c>
      <c r="E2" t="s">
        <v>202</v>
      </c>
      <c r="G2" t="s">
        <v>202</v>
      </c>
      <c r="H2" t="s">
        <v>202</v>
      </c>
      <c r="I2" t="s">
        <v>202</v>
      </c>
      <c r="J2" t="s">
        <v>202</v>
      </c>
      <c r="K2" t="s">
        <v>202</v>
      </c>
      <c r="L2" t="s">
        <v>202</v>
      </c>
      <c r="M2" t="s">
        <v>202</v>
      </c>
      <c r="N2" t="s">
        <v>202</v>
      </c>
      <c r="O2" t="s">
        <v>202</v>
      </c>
      <c r="P2" t="s">
        <v>203</v>
      </c>
      <c r="R2" s="17"/>
    </row>
    <row r="3" spans="1:19">
      <c r="A3" t="s">
        <v>217</v>
      </c>
      <c r="B3" s="2">
        <v>43987</v>
      </c>
      <c r="C3" t="s">
        <v>201</v>
      </c>
      <c r="D3" t="s">
        <v>192</v>
      </c>
      <c r="E3" t="s">
        <v>192</v>
      </c>
      <c r="F3" t="s">
        <v>202</v>
      </c>
      <c r="G3" t="s">
        <v>192</v>
      </c>
      <c r="H3" t="s">
        <v>202</v>
      </c>
      <c r="I3" t="s">
        <v>202</v>
      </c>
      <c r="J3" t="s">
        <v>202</v>
      </c>
      <c r="K3" t="s">
        <v>202</v>
      </c>
      <c r="L3" t="s">
        <v>202</v>
      </c>
      <c r="M3" t="s">
        <v>202</v>
      </c>
      <c r="N3" t="s">
        <v>202</v>
      </c>
      <c r="O3" t="s">
        <v>202</v>
      </c>
      <c r="P3" t="s">
        <v>203</v>
      </c>
      <c r="R3" s="17"/>
    </row>
    <row r="4" spans="1:19">
      <c r="A4" t="s">
        <v>216</v>
      </c>
      <c r="B4" s="2">
        <v>43990</v>
      </c>
      <c r="C4" t="s">
        <v>201</v>
      </c>
      <c r="D4" t="s">
        <v>192</v>
      </c>
      <c r="E4" t="s">
        <v>192</v>
      </c>
      <c r="F4" t="s">
        <v>202</v>
      </c>
      <c r="G4" t="s">
        <v>192</v>
      </c>
      <c r="H4" t="s">
        <v>202</v>
      </c>
      <c r="I4" t="s">
        <v>202</v>
      </c>
      <c r="J4" t="s">
        <v>202</v>
      </c>
      <c r="K4" t="s">
        <v>202</v>
      </c>
      <c r="L4" t="s">
        <v>202</v>
      </c>
      <c r="M4" t="s">
        <v>202</v>
      </c>
      <c r="N4" t="s">
        <v>202</v>
      </c>
      <c r="O4" t="s">
        <v>192</v>
      </c>
      <c r="P4" t="s">
        <v>203</v>
      </c>
      <c r="R4" s="17"/>
    </row>
    <row r="5" spans="1:19">
      <c r="A5" t="s">
        <v>217</v>
      </c>
      <c r="B5" s="2">
        <v>44109</v>
      </c>
      <c r="C5" t="s">
        <v>218</v>
      </c>
      <c r="D5" t="s">
        <v>202</v>
      </c>
      <c r="E5" t="s">
        <v>202</v>
      </c>
      <c r="F5" t="s">
        <v>192</v>
      </c>
      <c r="G5" t="s">
        <v>192</v>
      </c>
      <c r="H5" t="s">
        <v>202</v>
      </c>
      <c r="I5" t="s">
        <v>202</v>
      </c>
      <c r="J5" t="s">
        <v>202</v>
      </c>
      <c r="K5" t="s">
        <v>202</v>
      </c>
      <c r="L5" t="s">
        <v>202</v>
      </c>
      <c r="M5" t="s">
        <v>202</v>
      </c>
      <c r="N5" t="s">
        <v>202</v>
      </c>
      <c r="O5" t="s">
        <v>202</v>
      </c>
      <c r="P5" t="s">
        <v>203</v>
      </c>
      <c r="R5" s="17"/>
    </row>
    <row r="6" spans="1:19">
      <c r="A6" t="s">
        <v>226</v>
      </c>
      <c r="B6" s="2">
        <v>44112</v>
      </c>
      <c r="C6" t="s">
        <v>218</v>
      </c>
      <c r="D6" t="s">
        <v>202</v>
      </c>
      <c r="E6" t="s">
        <v>202</v>
      </c>
      <c r="F6" t="s">
        <v>192</v>
      </c>
      <c r="G6" t="s">
        <v>192</v>
      </c>
      <c r="H6" t="s">
        <v>202</v>
      </c>
      <c r="I6" t="s">
        <v>202</v>
      </c>
      <c r="J6" t="s">
        <v>202</v>
      </c>
      <c r="K6" t="s">
        <v>202</v>
      </c>
      <c r="L6" t="s">
        <v>202</v>
      </c>
      <c r="M6" t="s">
        <v>202</v>
      </c>
      <c r="N6" t="s">
        <v>202</v>
      </c>
      <c r="O6" t="s">
        <v>192</v>
      </c>
      <c r="P6" t="s">
        <v>203</v>
      </c>
      <c r="R6" s="17"/>
    </row>
    <row r="7" spans="1:19">
      <c r="A7" t="s">
        <v>219</v>
      </c>
      <c r="B7" s="2">
        <v>44132</v>
      </c>
      <c r="C7" t="s">
        <v>218</v>
      </c>
      <c r="D7" t="s">
        <v>202</v>
      </c>
      <c r="E7" t="s">
        <v>202</v>
      </c>
      <c r="F7" t="s">
        <v>202</v>
      </c>
      <c r="G7" t="s">
        <v>192</v>
      </c>
      <c r="H7" t="s">
        <v>202</v>
      </c>
      <c r="I7" t="s">
        <v>202</v>
      </c>
      <c r="J7" t="s">
        <v>202</v>
      </c>
      <c r="K7" t="s">
        <v>202</v>
      </c>
      <c r="L7" t="s">
        <v>202</v>
      </c>
      <c r="M7" t="s">
        <v>202</v>
      </c>
      <c r="N7" t="s">
        <v>202</v>
      </c>
      <c r="O7" t="s">
        <v>202</v>
      </c>
      <c r="P7" t="s">
        <v>203</v>
      </c>
      <c r="R7" s="17"/>
    </row>
    <row r="8" spans="1:19">
      <c r="A8" t="s">
        <v>216</v>
      </c>
      <c r="B8" s="2">
        <v>44147</v>
      </c>
      <c r="C8" t="s">
        <v>201</v>
      </c>
      <c r="D8" t="s">
        <v>192</v>
      </c>
      <c r="E8" t="s">
        <v>192</v>
      </c>
      <c r="F8" t="s">
        <v>202</v>
      </c>
      <c r="G8" t="s">
        <v>192</v>
      </c>
      <c r="H8" t="s">
        <v>202</v>
      </c>
      <c r="I8" t="s">
        <v>202</v>
      </c>
      <c r="J8" t="s">
        <v>202</v>
      </c>
      <c r="K8" t="s">
        <v>202</v>
      </c>
      <c r="L8" t="s">
        <v>202</v>
      </c>
      <c r="M8" t="s">
        <v>202</v>
      </c>
      <c r="N8" t="s">
        <v>202</v>
      </c>
      <c r="O8" t="s">
        <v>202</v>
      </c>
      <c r="P8" t="s">
        <v>203</v>
      </c>
      <c r="R8" s="17"/>
    </row>
    <row r="9" spans="1:19">
      <c r="A9" t="s">
        <v>234</v>
      </c>
      <c r="B9" s="2">
        <v>44182</v>
      </c>
      <c r="C9" t="s">
        <v>201</v>
      </c>
      <c r="D9" t="s">
        <v>192</v>
      </c>
      <c r="E9" t="s">
        <v>192</v>
      </c>
      <c r="F9" t="s">
        <v>202</v>
      </c>
      <c r="G9" t="s">
        <v>192</v>
      </c>
      <c r="H9" t="s">
        <v>202</v>
      </c>
      <c r="I9" t="s">
        <v>202</v>
      </c>
      <c r="J9" t="s">
        <v>202</v>
      </c>
      <c r="K9" t="s">
        <v>202</v>
      </c>
      <c r="L9" t="s">
        <v>202</v>
      </c>
      <c r="M9" t="s">
        <v>202</v>
      </c>
      <c r="N9" s="18" t="s">
        <v>202</v>
      </c>
      <c r="O9" s="18" t="s">
        <v>192</v>
      </c>
      <c r="P9" t="s">
        <v>203</v>
      </c>
      <c r="R9" s="17"/>
    </row>
    <row r="10" spans="1:19">
      <c r="A10" t="s">
        <v>220</v>
      </c>
      <c r="B10" s="2">
        <v>44272</v>
      </c>
      <c r="C10" t="s">
        <v>218</v>
      </c>
      <c r="D10" t="s">
        <v>202</v>
      </c>
      <c r="E10" t="s">
        <v>202</v>
      </c>
      <c r="F10" t="s">
        <v>202</v>
      </c>
      <c r="G10" t="s">
        <v>202</v>
      </c>
      <c r="H10" t="s">
        <v>202</v>
      </c>
      <c r="I10" t="s">
        <v>202</v>
      </c>
      <c r="J10" t="s">
        <v>202</v>
      </c>
      <c r="K10" t="s">
        <v>202</v>
      </c>
      <c r="L10" t="s">
        <v>202</v>
      </c>
      <c r="M10" t="s">
        <v>202</v>
      </c>
      <c r="N10" t="s">
        <v>202</v>
      </c>
      <c r="O10" t="s">
        <v>192</v>
      </c>
      <c r="P10" t="s">
        <v>203</v>
      </c>
      <c r="R10" s="17"/>
    </row>
    <row r="11" spans="1:19">
      <c r="A11" t="s">
        <v>221</v>
      </c>
      <c r="B11" s="2">
        <v>44291</v>
      </c>
      <c r="C11" t="s">
        <v>218</v>
      </c>
      <c r="D11" t="s">
        <v>202</v>
      </c>
      <c r="E11" t="s">
        <v>202</v>
      </c>
      <c r="F11" t="s">
        <v>202</v>
      </c>
      <c r="G11" t="s">
        <v>202</v>
      </c>
      <c r="H11" t="s">
        <v>202</v>
      </c>
      <c r="I11" t="s">
        <v>202</v>
      </c>
      <c r="J11" t="s">
        <v>202</v>
      </c>
      <c r="K11" t="s">
        <v>202</v>
      </c>
      <c r="L11" t="s">
        <v>202</v>
      </c>
      <c r="M11" t="s">
        <v>202</v>
      </c>
      <c r="N11" t="s">
        <v>202</v>
      </c>
      <c r="O11" t="s">
        <v>192</v>
      </c>
      <c r="P11" t="s">
        <v>203</v>
      </c>
      <c r="R11" s="17"/>
    </row>
    <row r="12" spans="1:19">
      <c r="A12" t="s">
        <v>229</v>
      </c>
      <c r="B12" s="2">
        <v>44293</v>
      </c>
      <c r="C12" t="s">
        <v>218</v>
      </c>
      <c r="D12" t="s">
        <v>202</v>
      </c>
      <c r="E12" t="s">
        <v>202</v>
      </c>
      <c r="F12" t="s">
        <v>192</v>
      </c>
      <c r="G12" t="s">
        <v>202</v>
      </c>
      <c r="H12" t="s">
        <v>202</v>
      </c>
      <c r="I12" t="s">
        <v>202</v>
      </c>
      <c r="J12" t="s">
        <v>202</v>
      </c>
      <c r="K12" t="s">
        <v>202</v>
      </c>
      <c r="L12" t="s">
        <v>202</v>
      </c>
      <c r="M12" t="s">
        <v>202</v>
      </c>
      <c r="N12" t="s">
        <v>202</v>
      </c>
      <c r="O12" t="s">
        <v>192</v>
      </c>
      <c r="P12" t="s">
        <v>230</v>
      </c>
      <c r="R12" s="17"/>
    </row>
    <row r="13" spans="1:19">
      <c r="A13" t="s">
        <v>215</v>
      </c>
      <c r="B13" s="2">
        <v>44314</v>
      </c>
      <c r="C13" t="s">
        <v>218</v>
      </c>
      <c r="D13" t="s">
        <v>202</v>
      </c>
      <c r="E13" t="s">
        <v>202</v>
      </c>
      <c r="F13" t="s">
        <v>202</v>
      </c>
      <c r="G13" t="s">
        <v>202</v>
      </c>
      <c r="H13" t="s">
        <v>202</v>
      </c>
      <c r="I13" t="s">
        <v>202</v>
      </c>
      <c r="J13" t="s">
        <v>202</v>
      </c>
      <c r="K13" t="s">
        <v>202</v>
      </c>
      <c r="L13" t="s">
        <v>202</v>
      </c>
      <c r="M13" t="s">
        <v>202</v>
      </c>
      <c r="N13" t="s">
        <v>202</v>
      </c>
      <c r="O13" t="s">
        <v>192</v>
      </c>
      <c r="P13" t="s">
        <v>203</v>
      </c>
      <c r="R13" s="17"/>
    </row>
    <row r="14" spans="1:19">
      <c r="A14" t="s">
        <v>215</v>
      </c>
      <c r="B14" s="2">
        <v>44328</v>
      </c>
      <c r="C14" t="s">
        <v>201</v>
      </c>
      <c r="D14" t="s">
        <v>192</v>
      </c>
      <c r="E14" t="s">
        <v>192</v>
      </c>
      <c r="F14" t="s">
        <v>202</v>
      </c>
      <c r="G14" t="s">
        <v>192</v>
      </c>
      <c r="H14" t="s">
        <v>202</v>
      </c>
      <c r="I14" t="s">
        <v>202</v>
      </c>
      <c r="J14" t="s">
        <v>202</v>
      </c>
      <c r="K14" t="s">
        <v>202</v>
      </c>
      <c r="L14" t="s">
        <v>202</v>
      </c>
      <c r="M14" t="s">
        <v>202</v>
      </c>
      <c r="N14" t="s">
        <v>202</v>
      </c>
      <c r="O14" t="s">
        <v>192</v>
      </c>
      <c r="P14" t="s">
        <v>203</v>
      </c>
      <c r="R14" s="17"/>
    </row>
    <row r="15" spans="1:19">
      <c r="A15" t="s">
        <v>258</v>
      </c>
      <c r="B15" s="2">
        <v>44354</v>
      </c>
      <c r="C15" t="s">
        <v>201</v>
      </c>
      <c r="D15" t="s">
        <v>192</v>
      </c>
      <c r="E15" t="s">
        <v>192</v>
      </c>
      <c r="F15" t="s">
        <v>202</v>
      </c>
      <c r="G15" t="s">
        <v>202</v>
      </c>
      <c r="H15" t="s">
        <v>202</v>
      </c>
      <c r="I15" t="s">
        <v>202</v>
      </c>
      <c r="J15" t="s">
        <v>202</v>
      </c>
      <c r="K15" t="s">
        <v>202</v>
      </c>
      <c r="L15" t="s">
        <v>202</v>
      </c>
      <c r="M15" t="s">
        <v>202</v>
      </c>
      <c r="N15" t="s">
        <v>202</v>
      </c>
      <c r="O15" t="s">
        <v>192</v>
      </c>
      <c r="P15" t="s">
        <v>203</v>
      </c>
      <c r="R15" s="17"/>
    </row>
    <row r="16" spans="1:19">
      <c r="A16" t="s">
        <v>261</v>
      </c>
      <c r="B16" s="2">
        <v>44364</v>
      </c>
      <c r="C16" t="s">
        <v>201</v>
      </c>
      <c r="D16" t="s">
        <v>202</v>
      </c>
      <c r="E16" t="s">
        <v>192</v>
      </c>
      <c r="F16" t="s">
        <v>192</v>
      </c>
      <c r="G16" t="s">
        <v>202</v>
      </c>
      <c r="H16" t="s">
        <v>202</v>
      </c>
      <c r="I16" t="s">
        <v>202</v>
      </c>
      <c r="J16" t="s">
        <v>202</v>
      </c>
      <c r="K16" t="s">
        <v>202</v>
      </c>
      <c r="L16" t="s">
        <v>202</v>
      </c>
      <c r="M16" t="s">
        <v>202</v>
      </c>
      <c r="N16" t="s">
        <v>202</v>
      </c>
      <c r="O16" t="s">
        <v>192</v>
      </c>
      <c r="P16" t="s">
        <v>230</v>
      </c>
      <c r="R16" s="17"/>
    </row>
    <row r="17" spans="1:18">
      <c r="A17" t="s">
        <v>259</v>
      </c>
      <c r="B17" s="2">
        <v>44368</v>
      </c>
      <c r="C17" t="s">
        <v>201</v>
      </c>
      <c r="D17" t="s">
        <v>202</v>
      </c>
      <c r="E17" t="s">
        <v>202</v>
      </c>
      <c r="F17" t="s">
        <v>202</v>
      </c>
      <c r="G17" t="s">
        <v>202</v>
      </c>
      <c r="H17" t="s">
        <v>202</v>
      </c>
      <c r="I17" t="s">
        <v>202</v>
      </c>
      <c r="J17" t="s">
        <v>202</v>
      </c>
      <c r="K17" t="s">
        <v>202</v>
      </c>
      <c r="L17" t="s">
        <v>202</v>
      </c>
      <c r="M17" t="s">
        <v>202</v>
      </c>
      <c r="N17" t="s">
        <v>202</v>
      </c>
      <c r="O17" t="s">
        <v>192</v>
      </c>
      <c r="P17" t="s">
        <v>230</v>
      </c>
      <c r="R17" s="17"/>
    </row>
    <row r="18" spans="1:18">
      <c r="A18" t="s">
        <v>260</v>
      </c>
      <c r="B18" s="2">
        <v>44369</v>
      </c>
      <c r="C18" t="s">
        <v>201</v>
      </c>
      <c r="D18" t="s">
        <v>192</v>
      </c>
      <c r="E18" t="s">
        <v>192</v>
      </c>
      <c r="F18" t="s">
        <v>202</v>
      </c>
      <c r="G18" t="s">
        <v>192</v>
      </c>
      <c r="H18" s="2" t="s">
        <v>202</v>
      </c>
      <c r="I18" s="2" t="s">
        <v>202</v>
      </c>
      <c r="J18" t="s">
        <v>202</v>
      </c>
      <c r="K18" t="s">
        <v>202</v>
      </c>
      <c r="L18" t="s">
        <v>202</v>
      </c>
      <c r="M18" t="s">
        <v>202</v>
      </c>
      <c r="N18" t="s">
        <v>202</v>
      </c>
      <c r="O18" t="s">
        <v>192</v>
      </c>
      <c r="P18" t="s">
        <v>203</v>
      </c>
      <c r="R18" s="17"/>
    </row>
    <row r="19" spans="1:18">
      <c r="A19" t="s">
        <v>262</v>
      </c>
      <c r="B19" s="2">
        <v>44375</v>
      </c>
      <c r="C19" t="s">
        <v>201</v>
      </c>
      <c r="D19" s="18" t="s">
        <v>202</v>
      </c>
      <c r="E19" s="18" t="s">
        <v>202</v>
      </c>
      <c r="F19" s="18" t="s">
        <v>192</v>
      </c>
      <c r="G19" s="18" t="s">
        <v>192</v>
      </c>
      <c r="H19" s="18" t="s">
        <v>202</v>
      </c>
      <c r="I19" s="18" t="s">
        <v>202</v>
      </c>
      <c r="J19" s="18" t="s">
        <v>202</v>
      </c>
      <c r="K19" s="18" t="s">
        <v>202</v>
      </c>
      <c r="L19" s="18" t="s">
        <v>202</v>
      </c>
      <c r="M19" s="18" t="s">
        <v>202</v>
      </c>
      <c r="N19" s="18" t="s">
        <v>202</v>
      </c>
      <c r="O19" s="18" t="s">
        <v>192</v>
      </c>
      <c r="P19" s="18" t="s">
        <v>203</v>
      </c>
      <c r="R19" s="17"/>
    </row>
    <row r="20" spans="1:18">
      <c r="A20" t="s">
        <v>212</v>
      </c>
      <c r="B20" s="2">
        <v>44384</v>
      </c>
      <c r="C20" t="s">
        <v>201</v>
      </c>
      <c r="D20" s="19" t="s">
        <v>202</v>
      </c>
      <c r="E20" s="19" t="s">
        <v>202</v>
      </c>
      <c r="F20" s="19" t="s">
        <v>202</v>
      </c>
      <c r="G20" s="19" t="s">
        <v>192</v>
      </c>
      <c r="H20" s="2" t="s">
        <v>202</v>
      </c>
      <c r="I20" s="2" t="s">
        <v>202</v>
      </c>
      <c r="J20" s="19" t="s">
        <v>202</v>
      </c>
      <c r="K20" s="19" t="s">
        <v>202</v>
      </c>
      <c r="L20" s="19" t="s">
        <v>202</v>
      </c>
      <c r="M20" s="19" t="s">
        <v>202</v>
      </c>
      <c r="N20" s="19" t="s">
        <v>202</v>
      </c>
      <c r="O20" s="19" t="s">
        <v>192</v>
      </c>
      <c r="P20" s="19" t="s">
        <v>203</v>
      </c>
      <c r="R20" s="17"/>
    </row>
    <row r="21" spans="1:18">
      <c r="A21" t="s">
        <v>264</v>
      </c>
      <c r="B21" s="2">
        <v>44446</v>
      </c>
      <c r="C21" t="s">
        <v>201</v>
      </c>
      <c r="D21" t="s">
        <v>202</v>
      </c>
      <c r="E21" t="s">
        <v>192</v>
      </c>
      <c r="F21" t="s">
        <v>192</v>
      </c>
      <c r="G21" t="s">
        <v>202</v>
      </c>
      <c r="H21" t="s">
        <v>202</v>
      </c>
      <c r="I21" t="s">
        <v>202</v>
      </c>
      <c r="J21" t="s">
        <v>202</v>
      </c>
      <c r="K21" t="s">
        <v>202</v>
      </c>
      <c r="L21" t="s">
        <v>202</v>
      </c>
      <c r="M21" t="s">
        <v>202</v>
      </c>
      <c r="N21" t="s">
        <v>202</v>
      </c>
      <c r="O21" t="s">
        <v>192</v>
      </c>
      <c r="P21" t="s">
        <v>230</v>
      </c>
      <c r="R21" s="17"/>
    </row>
    <row r="22" spans="1:18">
      <c r="A22" t="s">
        <v>265</v>
      </c>
      <c r="B22" s="2">
        <v>44460</v>
      </c>
      <c r="C22" t="s">
        <v>201</v>
      </c>
      <c r="D22" t="s">
        <v>192</v>
      </c>
      <c r="E22" t="s">
        <v>192</v>
      </c>
      <c r="F22" t="s">
        <v>202</v>
      </c>
      <c r="G22" t="s">
        <v>192</v>
      </c>
      <c r="H22" t="s">
        <v>202</v>
      </c>
      <c r="I22" t="s">
        <v>202</v>
      </c>
      <c r="J22" t="s">
        <v>202</v>
      </c>
      <c r="K22" t="s">
        <v>202</v>
      </c>
      <c r="L22" t="s">
        <v>202</v>
      </c>
      <c r="M22" t="s">
        <v>202</v>
      </c>
      <c r="N22" t="s">
        <v>202</v>
      </c>
      <c r="O22" t="s">
        <v>192</v>
      </c>
      <c r="P22" t="s">
        <v>203</v>
      </c>
      <c r="R22" s="17"/>
    </row>
    <row r="23" spans="1:18">
      <c r="A23" t="s">
        <v>217</v>
      </c>
      <c r="B23" s="2">
        <v>44461</v>
      </c>
      <c r="C23" t="s">
        <v>218</v>
      </c>
      <c r="D23" t="s">
        <v>202</v>
      </c>
      <c r="E23" t="s">
        <v>202</v>
      </c>
      <c r="F23" t="s">
        <v>192</v>
      </c>
      <c r="G23" t="s">
        <v>202</v>
      </c>
      <c r="H23" t="s">
        <v>202</v>
      </c>
      <c r="I23" t="s">
        <v>202</v>
      </c>
      <c r="J23" t="s">
        <v>202</v>
      </c>
      <c r="K23" t="s">
        <v>202</v>
      </c>
      <c r="L23" t="s">
        <v>202</v>
      </c>
      <c r="M23" t="s">
        <v>202</v>
      </c>
      <c r="N23" t="s">
        <v>202</v>
      </c>
      <c r="O23" t="s">
        <v>192</v>
      </c>
      <c r="P23" t="s">
        <v>203</v>
      </c>
      <c r="R23" s="17"/>
    </row>
    <row r="24" spans="1:18">
      <c r="A24" t="s">
        <v>226</v>
      </c>
      <c r="B24" s="2">
        <v>44476</v>
      </c>
      <c r="C24" t="s">
        <v>218</v>
      </c>
      <c r="D24" t="s">
        <v>202</v>
      </c>
      <c r="E24" t="s">
        <v>202</v>
      </c>
      <c r="F24" t="s">
        <v>202</v>
      </c>
      <c r="G24" t="s">
        <v>202</v>
      </c>
      <c r="H24" t="s">
        <v>202</v>
      </c>
      <c r="I24" t="s">
        <v>202</v>
      </c>
      <c r="J24" t="s">
        <v>202</v>
      </c>
      <c r="K24" t="s">
        <v>202</v>
      </c>
      <c r="L24" t="s">
        <v>202</v>
      </c>
      <c r="M24" t="s">
        <v>202</v>
      </c>
      <c r="N24" t="s">
        <v>202</v>
      </c>
      <c r="O24" t="s">
        <v>192</v>
      </c>
      <c r="P24" t="s">
        <v>203</v>
      </c>
      <c r="R24" s="17"/>
    </row>
    <row r="25" spans="1:18">
      <c r="A25" t="s">
        <v>262</v>
      </c>
      <c r="B25" s="2">
        <v>44480</v>
      </c>
      <c r="C25" t="s">
        <v>201</v>
      </c>
      <c r="D25" t="s">
        <v>192</v>
      </c>
      <c r="E25" t="s">
        <v>192</v>
      </c>
      <c r="F25" t="s">
        <v>192</v>
      </c>
      <c r="G25" t="s">
        <v>192</v>
      </c>
      <c r="H25" t="s">
        <v>202</v>
      </c>
      <c r="I25" t="s">
        <v>192</v>
      </c>
      <c r="J25" t="s">
        <v>202</v>
      </c>
      <c r="K25" t="s">
        <v>202</v>
      </c>
      <c r="L25" t="s">
        <v>202</v>
      </c>
      <c r="M25" t="s">
        <v>202</v>
      </c>
      <c r="N25" t="s">
        <v>202</v>
      </c>
      <c r="O25" t="s">
        <v>202</v>
      </c>
      <c r="P25" t="s">
        <v>203</v>
      </c>
      <c r="R25" s="17"/>
    </row>
    <row r="26" spans="1:18">
      <c r="A26" t="s">
        <v>322</v>
      </c>
      <c r="B26" s="2">
        <v>44482</v>
      </c>
      <c r="C26" t="s">
        <v>201</v>
      </c>
      <c r="D26" t="s">
        <v>192</v>
      </c>
      <c r="E26" t="s">
        <v>192</v>
      </c>
      <c r="F26" t="s">
        <v>192</v>
      </c>
      <c r="G26" t="s">
        <v>192</v>
      </c>
      <c r="H26" t="s">
        <v>202</v>
      </c>
      <c r="I26" t="s">
        <v>202</v>
      </c>
      <c r="J26" t="s">
        <v>202</v>
      </c>
      <c r="K26" t="s">
        <v>202</v>
      </c>
      <c r="L26" t="s">
        <v>202</v>
      </c>
      <c r="M26" t="s">
        <v>202</v>
      </c>
      <c r="N26" t="s">
        <v>202</v>
      </c>
      <c r="O26" t="s">
        <v>202</v>
      </c>
      <c r="P26" t="s">
        <v>203</v>
      </c>
      <c r="R26" s="17"/>
    </row>
    <row r="27" spans="1:18">
      <c r="A27" t="s">
        <v>219</v>
      </c>
      <c r="B27" s="2">
        <v>44487</v>
      </c>
      <c r="C27" t="s">
        <v>218</v>
      </c>
      <c r="D27" t="s">
        <v>202</v>
      </c>
      <c r="E27" t="s">
        <v>202</v>
      </c>
      <c r="F27" t="s">
        <v>202</v>
      </c>
      <c r="G27" t="s">
        <v>202</v>
      </c>
      <c r="H27" t="s">
        <v>202</v>
      </c>
      <c r="I27" t="s">
        <v>202</v>
      </c>
      <c r="J27" t="s">
        <v>202</v>
      </c>
      <c r="K27" t="s">
        <v>202</v>
      </c>
      <c r="L27" t="s">
        <v>202</v>
      </c>
      <c r="M27" t="s">
        <v>202</v>
      </c>
      <c r="N27" t="s">
        <v>202</v>
      </c>
      <c r="O27" t="s">
        <v>192</v>
      </c>
      <c r="P27" t="s">
        <v>203</v>
      </c>
      <c r="R27" s="17"/>
    </row>
    <row r="28" spans="1:18">
      <c r="A28" t="s">
        <v>311</v>
      </c>
      <c r="B28" s="2">
        <v>44494</v>
      </c>
      <c r="C28" t="s">
        <v>218</v>
      </c>
      <c r="D28" t="s">
        <v>202</v>
      </c>
      <c r="E28" t="s">
        <v>202</v>
      </c>
      <c r="F28" t="s">
        <v>192</v>
      </c>
      <c r="G28" t="s">
        <v>202</v>
      </c>
      <c r="H28" t="s">
        <v>202</v>
      </c>
      <c r="I28" t="s">
        <v>202</v>
      </c>
      <c r="J28" t="s">
        <v>202</v>
      </c>
      <c r="K28" t="s">
        <v>202</v>
      </c>
      <c r="L28" t="s">
        <v>202</v>
      </c>
      <c r="M28" t="s">
        <v>202</v>
      </c>
      <c r="N28" t="s">
        <v>202</v>
      </c>
      <c r="O28" t="s">
        <v>192</v>
      </c>
      <c r="P28" t="s">
        <v>203</v>
      </c>
      <c r="R28" s="17"/>
    </row>
    <row r="29" spans="1:18">
      <c r="A29" t="s">
        <v>212</v>
      </c>
      <c r="B29" s="2">
        <v>44497</v>
      </c>
      <c r="C29" t="s">
        <v>201</v>
      </c>
      <c r="D29" t="s">
        <v>192</v>
      </c>
      <c r="E29" t="s">
        <v>192</v>
      </c>
      <c r="F29" t="s">
        <v>192</v>
      </c>
      <c r="G29" t="s">
        <v>202</v>
      </c>
      <c r="H29" t="s">
        <v>202</v>
      </c>
      <c r="I29" t="s">
        <v>202</v>
      </c>
      <c r="J29" t="s">
        <v>202</v>
      </c>
      <c r="K29" t="s">
        <v>202</v>
      </c>
      <c r="L29" t="s">
        <v>202</v>
      </c>
      <c r="M29" t="s">
        <v>202</v>
      </c>
      <c r="N29" t="s">
        <v>202</v>
      </c>
      <c r="O29" t="s">
        <v>202</v>
      </c>
      <c r="P29" t="s">
        <v>203</v>
      </c>
      <c r="R29" s="17"/>
    </row>
    <row r="30" spans="1:18">
      <c r="A30" t="s">
        <v>323</v>
      </c>
      <c r="B30" s="2">
        <v>44503</v>
      </c>
      <c r="C30" t="s">
        <v>218</v>
      </c>
      <c r="D30" t="s">
        <v>202</v>
      </c>
      <c r="E30" t="s">
        <v>202</v>
      </c>
      <c r="F30" t="s">
        <v>192</v>
      </c>
      <c r="G30" t="s">
        <v>192</v>
      </c>
      <c r="H30" t="s">
        <v>202</v>
      </c>
      <c r="I30" t="s">
        <v>202</v>
      </c>
      <c r="J30" t="s">
        <v>202</v>
      </c>
      <c r="K30" t="s">
        <v>202</v>
      </c>
      <c r="L30" t="s">
        <v>202</v>
      </c>
      <c r="M30" t="s">
        <v>202</v>
      </c>
      <c r="N30" t="s">
        <v>202</v>
      </c>
      <c r="O30" t="s">
        <v>192</v>
      </c>
      <c r="P30" t="s">
        <v>203</v>
      </c>
      <c r="R30" s="17"/>
    </row>
    <row r="31" spans="1:18">
      <c r="A31" t="s">
        <v>324</v>
      </c>
      <c r="B31" s="2">
        <v>44504</v>
      </c>
      <c r="C31" t="s">
        <v>218</v>
      </c>
      <c r="D31" t="s">
        <v>202</v>
      </c>
      <c r="E31" t="s">
        <v>202</v>
      </c>
      <c r="F31" t="s">
        <v>192</v>
      </c>
      <c r="G31" t="s">
        <v>202</v>
      </c>
      <c r="H31" t="s">
        <v>202</v>
      </c>
      <c r="I31" t="s">
        <v>202</v>
      </c>
      <c r="J31" t="s">
        <v>202</v>
      </c>
      <c r="K31" t="s">
        <v>202</v>
      </c>
      <c r="L31" t="s">
        <v>202</v>
      </c>
      <c r="M31" t="s">
        <v>202</v>
      </c>
      <c r="N31" t="s">
        <v>202</v>
      </c>
      <c r="O31" t="s">
        <v>192</v>
      </c>
      <c r="P31" t="s">
        <v>203</v>
      </c>
      <c r="R31" s="17"/>
    </row>
    <row r="32" spans="1:18">
      <c r="A32" t="s">
        <v>326</v>
      </c>
      <c r="B32" s="2">
        <v>44505</v>
      </c>
      <c r="C32" t="s">
        <v>201</v>
      </c>
      <c r="D32" t="s">
        <v>192</v>
      </c>
      <c r="E32" t="s">
        <v>192</v>
      </c>
      <c r="F32" t="s">
        <v>202</v>
      </c>
      <c r="G32" t="s">
        <v>202</v>
      </c>
      <c r="H32" t="s">
        <v>202</v>
      </c>
      <c r="I32" t="s">
        <v>202</v>
      </c>
      <c r="J32" t="s">
        <v>202</v>
      </c>
      <c r="K32" t="s">
        <v>202</v>
      </c>
      <c r="L32" t="s">
        <v>202</v>
      </c>
      <c r="M32" t="s">
        <v>202</v>
      </c>
      <c r="N32" t="s">
        <v>202</v>
      </c>
      <c r="O32" t="s">
        <v>192</v>
      </c>
      <c r="P32" t="s">
        <v>230</v>
      </c>
      <c r="R32" s="17"/>
    </row>
    <row r="33" spans="1:19">
      <c r="A33" t="s">
        <v>325</v>
      </c>
      <c r="B33" s="2">
        <v>44508</v>
      </c>
      <c r="C33" t="s">
        <v>201</v>
      </c>
      <c r="D33" t="s">
        <v>202</v>
      </c>
      <c r="E33" t="s">
        <v>192</v>
      </c>
      <c r="F33" t="s">
        <v>192</v>
      </c>
      <c r="G33" t="s">
        <v>202</v>
      </c>
      <c r="H33" t="s">
        <v>202</v>
      </c>
      <c r="I33" t="s">
        <v>202</v>
      </c>
      <c r="J33" t="s">
        <v>202</v>
      </c>
      <c r="K33" t="s">
        <v>202</v>
      </c>
      <c r="L33" t="s">
        <v>202</v>
      </c>
      <c r="M33" t="s">
        <v>202</v>
      </c>
      <c r="N33" t="s">
        <v>202</v>
      </c>
      <c r="O33" t="s">
        <v>192</v>
      </c>
      <c r="P33" t="s">
        <v>203</v>
      </c>
      <c r="R33" s="17"/>
      <c r="S33" t="s">
        <v>327</v>
      </c>
    </row>
    <row r="34" spans="1:19">
      <c r="A34" t="s">
        <v>215</v>
      </c>
      <c r="B34" s="2">
        <v>44543</v>
      </c>
      <c r="C34" t="s">
        <v>201</v>
      </c>
      <c r="D34" t="s">
        <v>202</v>
      </c>
      <c r="E34" t="s">
        <v>192</v>
      </c>
      <c r="F34" t="s">
        <v>202</v>
      </c>
      <c r="G34" t="s">
        <v>202</v>
      </c>
      <c r="H34" t="s">
        <v>202</v>
      </c>
      <c r="I34" t="s">
        <v>202</v>
      </c>
      <c r="J34" t="s">
        <v>202</v>
      </c>
      <c r="K34" t="s">
        <v>202</v>
      </c>
      <c r="L34" t="s">
        <v>202</v>
      </c>
      <c r="M34" t="s">
        <v>202</v>
      </c>
      <c r="N34" t="s">
        <v>202</v>
      </c>
      <c r="O34" t="s">
        <v>202</v>
      </c>
      <c r="P34" t="s">
        <v>203</v>
      </c>
      <c r="R34" s="17"/>
    </row>
    <row r="35" spans="1:19">
      <c r="A35" t="s">
        <v>328</v>
      </c>
      <c r="B35" s="2">
        <v>44571</v>
      </c>
      <c r="C35" t="s">
        <v>201</v>
      </c>
      <c r="D35" t="s">
        <v>192</v>
      </c>
      <c r="E35" t="s">
        <v>192</v>
      </c>
      <c r="F35" t="s">
        <v>192</v>
      </c>
      <c r="G35" t="s">
        <v>202</v>
      </c>
      <c r="H35" t="s">
        <v>202</v>
      </c>
      <c r="I35" t="s">
        <v>192</v>
      </c>
      <c r="J35" t="s">
        <v>202</v>
      </c>
      <c r="K35" t="s">
        <v>202</v>
      </c>
      <c r="L35" t="s">
        <v>202</v>
      </c>
      <c r="M35" t="s">
        <v>202</v>
      </c>
      <c r="N35" t="s">
        <v>202</v>
      </c>
      <c r="O35" t="s">
        <v>192</v>
      </c>
      <c r="P35" t="s">
        <v>203</v>
      </c>
      <c r="R35" s="17"/>
    </row>
    <row r="36" spans="1:19">
      <c r="A36" t="s">
        <v>329</v>
      </c>
      <c r="B36" s="2">
        <v>44574</v>
      </c>
      <c r="C36" t="s">
        <v>218</v>
      </c>
      <c r="D36" t="s">
        <v>202</v>
      </c>
      <c r="E36" t="s">
        <v>202</v>
      </c>
      <c r="F36" t="s">
        <v>192</v>
      </c>
      <c r="G36" t="s">
        <v>202</v>
      </c>
      <c r="H36" t="s">
        <v>202</v>
      </c>
      <c r="I36" t="s">
        <v>192</v>
      </c>
      <c r="J36" t="s">
        <v>202</v>
      </c>
      <c r="K36" t="s">
        <v>202</v>
      </c>
      <c r="L36" t="s">
        <v>202</v>
      </c>
      <c r="M36" t="s">
        <v>192</v>
      </c>
      <c r="N36" t="s">
        <v>202</v>
      </c>
      <c r="O36" t="s">
        <v>192</v>
      </c>
      <c r="P36" t="s">
        <v>203</v>
      </c>
      <c r="R36" s="17"/>
    </row>
    <row r="37" spans="1:19">
      <c r="A37" t="s">
        <v>330</v>
      </c>
      <c r="B37" s="2">
        <v>44578</v>
      </c>
      <c r="C37" t="s">
        <v>218</v>
      </c>
      <c r="D37" t="s">
        <v>202</v>
      </c>
      <c r="E37" t="s">
        <v>202</v>
      </c>
      <c r="F37" t="s">
        <v>192</v>
      </c>
      <c r="G37" t="s">
        <v>202</v>
      </c>
      <c r="H37" t="s">
        <v>202</v>
      </c>
      <c r="I37" t="s">
        <v>202</v>
      </c>
      <c r="J37" t="s">
        <v>202</v>
      </c>
      <c r="K37" t="s">
        <v>202</v>
      </c>
      <c r="L37" t="s">
        <v>202</v>
      </c>
      <c r="M37" t="s">
        <v>202</v>
      </c>
      <c r="N37" t="s">
        <v>202</v>
      </c>
      <c r="O37" t="s">
        <v>192</v>
      </c>
      <c r="P37" t="s">
        <v>230</v>
      </c>
      <c r="R37" s="17"/>
    </row>
    <row r="38" spans="1:19">
      <c r="A38" t="s">
        <v>331</v>
      </c>
      <c r="B38" s="2">
        <v>44580</v>
      </c>
      <c r="C38" t="s">
        <v>218</v>
      </c>
      <c r="D38" t="s">
        <v>202</v>
      </c>
      <c r="E38" t="s">
        <v>202</v>
      </c>
      <c r="F38" t="s">
        <v>202</v>
      </c>
      <c r="G38" t="s">
        <v>202</v>
      </c>
      <c r="H38" t="s">
        <v>202</v>
      </c>
      <c r="I38" t="s">
        <v>202</v>
      </c>
      <c r="J38" t="s">
        <v>202</v>
      </c>
      <c r="K38" t="s">
        <v>202</v>
      </c>
      <c r="L38" t="s">
        <v>202</v>
      </c>
      <c r="M38" t="s">
        <v>202</v>
      </c>
      <c r="N38" t="s">
        <v>202</v>
      </c>
      <c r="O38" t="s">
        <v>192</v>
      </c>
      <c r="P38" t="s">
        <v>230</v>
      </c>
      <c r="R38" s="17"/>
    </row>
    <row r="39" spans="1:19">
      <c r="A39" t="s">
        <v>258</v>
      </c>
      <c r="B39" s="2">
        <v>44588</v>
      </c>
      <c r="C39" t="s">
        <v>218</v>
      </c>
      <c r="D39" t="s">
        <v>202</v>
      </c>
      <c r="E39" t="s">
        <v>202</v>
      </c>
      <c r="F39" t="s">
        <v>192</v>
      </c>
      <c r="G39" t="s">
        <v>202</v>
      </c>
      <c r="H39" t="s">
        <v>202</v>
      </c>
      <c r="I39" t="s">
        <v>202</v>
      </c>
      <c r="J39" t="s">
        <v>202</v>
      </c>
      <c r="K39" t="s">
        <v>202</v>
      </c>
      <c r="L39" t="s">
        <v>202</v>
      </c>
      <c r="M39" t="s">
        <v>202</v>
      </c>
      <c r="N39" t="s">
        <v>202</v>
      </c>
      <c r="O39" t="s">
        <v>192</v>
      </c>
      <c r="P39" t="s">
        <v>203</v>
      </c>
      <c r="R39" s="17"/>
    </row>
    <row r="40" spans="1:19">
      <c r="A40" t="s">
        <v>335</v>
      </c>
      <c r="B40" s="2">
        <v>44592</v>
      </c>
      <c r="C40" t="s">
        <v>218</v>
      </c>
      <c r="D40" t="s">
        <v>202</v>
      </c>
      <c r="E40" t="s">
        <v>202</v>
      </c>
      <c r="F40" t="s">
        <v>192</v>
      </c>
      <c r="G40" t="s">
        <v>202</v>
      </c>
      <c r="H40" t="s">
        <v>202</v>
      </c>
      <c r="I40" t="s">
        <v>202</v>
      </c>
      <c r="J40" t="s">
        <v>202</v>
      </c>
      <c r="K40" t="s">
        <v>202</v>
      </c>
      <c r="L40" t="s">
        <v>192</v>
      </c>
      <c r="M40" t="s">
        <v>202</v>
      </c>
      <c r="N40" t="s">
        <v>202</v>
      </c>
      <c r="O40" t="s">
        <v>192</v>
      </c>
      <c r="P40" t="s">
        <v>336</v>
      </c>
      <c r="R40" s="17"/>
    </row>
    <row r="41" spans="1:19">
      <c r="A41" t="s">
        <v>221</v>
      </c>
      <c r="B41" s="2">
        <v>44595</v>
      </c>
      <c r="C41" t="s">
        <v>218</v>
      </c>
      <c r="D41" t="s">
        <v>202</v>
      </c>
      <c r="E41" t="s">
        <v>202</v>
      </c>
      <c r="F41" t="s">
        <v>202</v>
      </c>
      <c r="G41" t="s">
        <v>202</v>
      </c>
      <c r="H41" t="s">
        <v>202</v>
      </c>
      <c r="I41" t="s">
        <v>192</v>
      </c>
      <c r="J41" t="s">
        <v>202</v>
      </c>
      <c r="K41" t="s">
        <v>202</v>
      </c>
      <c r="L41" t="s">
        <v>202</v>
      </c>
      <c r="M41" t="s">
        <v>192</v>
      </c>
      <c r="N41" t="s">
        <v>202</v>
      </c>
      <c r="O41" t="s">
        <v>192</v>
      </c>
      <c r="P41" t="s">
        <v>203</v>
      </c>
      <c r="R41" s="17"/>
    </row>
    <row r="42" spans="1:19">
      <c r="A42" t="s">
        <v>332</v>
      </c>
      <c r="B42" s="2">
        <v>44599</v>
      </c>
      <c r="C42" t="s">
        <v>218</v>
      </c>
      <c r="D42" t="s">
        <v>202</v>
      </c>
      <c r="E42" t="s">
        <v>202</v>
      </c>
      <c r="F42" t="s">
        <v>192</v>
      </c>
      <c r="G42" t="s">
        <v>202</v>
      </c>
      <c r="H42" t="s">
        <v>202</v>
      </c>
      <c r="I42" t="s">
        <v>202</v>
      </c>
      <c r="J42" t="s">
        <v>202</v>
      </c>
      <c r="K42" t="s">
        <v>202</v>
      </c>
      <c r="L42" t="s">
        <v>202</v>
      </c>
      <c r="M42" t="s">
        <v>202</v>
      </c>
      <c r="N42" t="s">
        <v>202</v>
      </c>
      <c r="O42" t="s">
        <v>192</v>
      </c>
      <c r="P42" t="s">
        <v>203</v>
      </c>
      <c r="R42" s="17"/>
    </row>
    <row r="43" spans="1:19">
      <c r="A43" t="s">
        <v>333</v>
      </c>
      <c r="B43" s="2">
        <v>44602</v>
      </c>
      <c r="C43" t="s">
        <v>218</v>
      </c>
      <c r="D43" t="s">
        <v>202</v>
      </c>
      <c r="E43" t="s">
        <v>202</v>
      </c>
      <c r="F43" t="s">
        <v>192</v>
      </c>
      <c r="G43" t="s">
        <v>202</v>
      </c>
      <c r="H43" t="s">
        <v>202</v>
      </c>
      <c r="I43" t="s">
        <v>202</v>
      </c>
      <c r="J43" t="s">
        <v>202</v>
      </c>
      <c r="K43" t="s">
        <v>202</v>
      </c>
      <c r="L43" t="s">
        <v>192</v>
      </c>
      <c r="M43" t="s">
        <v>202</v>
      </c>
      <c r="N43" t="s">
        <v>202</v>
      </c>
      <c r="O43" t="s">
        <v>192</v>
      </c>
      <c r="P43" t="s">
        <v>230</v>
      </c>
      <c r="R43" s="17"/>
    </row>
    <row r="44" spans="1:19">
      <c r="A44" t="s">
        <v>334</v>
      </c>
      <c r="B44" s="2">
        <v>44608</v>
      </c>
      <c r="C44" t="s">
        <v>201</v>
      </c>
      <c r="D44" t="s">
        <v>192</v>
      </c>
      <c r="E44" t="s">
        <v>192</v>
      </c>
      <c r="F44" t="s">
        <v>202</v>
      </c>
      <c r="G44" t="s">
        <v>192</v>
      </c>
      <c r="H44" t="s">
        <v>202</v>
      </c>
      <c r="I44" t="s">
        <v>202</v>
      </c>
      <c r="J44" t="s">
        <v>202</v>
      </c>
      <c r="K44" t="s">
        <v>202</v>
      </c>
      <c r="L44" t="s">
        <v>202</v>
      </c>
      <c r="M44" t="s">
        <v>202</v>
      </c>
      <c r="N44" t="s">
        <v>202</v>
      </c>
      <c r="O44" t="s">
        <v>192</v>
      </c>
      <c r="P44" t="s">
        <v>203</v>
      </c>
      <c r="R44" s="17"/>
    </row>
    <row r="45" spans="1:19">
      <c r="A45" t="s">
        <v>311</v>
      </c>
      <c r="B45" s="2">
        <v>44609</v>
      </c>
      <c r="C45" t="s">
        <v>201</v>
      </c>
      <c r="D45" t="s">
        <v>192</v>
      </c>
      <c r="E45" t="s">
        <v>192</v>
      </c>
      <c r="F45" t="s">
        <v>202</v>
      </c>
      <c r="G45" t="s">
        <v>192</v>
      </c>
      <c r="H45" t="s">
        <v>202</v>
      </c>
      <c r="I45" t="s">
        <v>192</v>
      </c>
      <c r="J45" t="s">
        <v>202</v>
      </c>
      <c r="K45" t="s">
        <v>202</v>
      </c>
      <c r="L45" t="s">
        <v>202</v>
      </c>
      <c r="M45" t="s">
        <v>192</v>
      </c>
      <c r="N45" t="s">
        <v>202</v>
      </c>
      <c r="O45" t="s">
        <v>192</v>
      </c>
      <c r="P45" t="s">
        <v>203</v>
      </c>
      <c r="R45" s="17"/>
    </row>
    <row r="46" spans="1:19">
      <c r="A46" t="s">
        <v>264</v>
      </c>
      <c r="B46" s="2">
        <v>44613</v>
      </c>
      <c r="C46" t="s">
        <v>201</v>
      </c>
      <c r="D46" t="s">
        <v>202</v>
      </c>
      <c r="E46" t="s">
        <v>192</v>
      </c>
      <c r="F46" t="s">
        <v>202</v>
      </c>
      <c r="G46" t="s">
        <v>192</v>
      </c>
      <c r="H46" t="s">
        <v>202</v>
      </c>
      <c r="I46" t="s">
        <v>202</v>
      </c>
      <c r="J46" t="s">
        <v>202</v>
      </c>
      <c r="K46" t="s">
        <v>202</v>
      </c>
      <c r="L46" t="s">
        <v>192</v>
      </c>
      <c r="M46" t="s">
        <v>202</v>
      </c>
      <c r="N46" t="s">
        <v>202</v>
      </c>
      <c r="O46" t="s">
        <v>192</v>
      </c>
      <c r="P46" t="s">
        <v>230</v>
      </c>
      <c r="R46" s="17"/>
    </row>
    <row r="47" spans="1:19">
      <c r="A47" s="18" t="s">
        <v>334</v>
      </c>
      <c r="B47" s="2">
        <v>44630</v>
      </c>
      <c r="C47" t="s">
        <v>218</v>
      </c>
      <c r="D47" t="s">
        <v>192</v>
      </c>
      <c r="E47" t="s">
        <v>192</v>
      </c>
      <c r="F47" t="s">
        <v>192</v>
      </c>
      <c r="G47" t="s">
        <v>202</v>
      </c>
      <c r="H47" t="s">
        <v>202</v>
      </c>
      <c r="I47" t="s">
        <v>202</v>
      </c>
      <c r="J47" t="s">
        <v>202</v>
      </c>
      <c r="K47" t="s">
        <v>202</v>
      </c>
      <c r="L47" t="s">
        <v>202</v>
      </c>
      <c r="M47" t="s">
        <v>202</v>
      </c>
      <c r="N47" t="s">
        <v>202</v>
      </c>
      <c r="O47" t="s">
        <v>192</v>
      </c>
      <c r="P47" t="s">
        <v>230</v>
      </c>
      <c r="R47" s="17"/>
    </row>
    <row r="48" spans="1:19">
      <c r="A48" t="s">
        <v>337</v>
      </c>
      <c r="B48" s="2">
        <v>44635</v>
      </c>
      <c r="C48" t="s">
        <v>201</v>
      </c>
      <c r="D48" t="s">
        <v>192</v>
      </c>
      <c r="E48" t="s">
        <v>192</v>
      </c>
      <c r="F48" t="s">
        <v>192</v>
      </c>
      <c r="G48" t="s">
        <v>192</v>
      </c>
      <c r="H48" t="s">
        <v>192</v>
      </c>
      <c r="I48" t="s">
        <v>202</v>
      </c>
      <c r="J48" t="s">
        <v>202</v>
      </c>
      <c r="K48" t="s">
        <v>202</v>
      </c>
      <c r="L48" t="s">
        <v>192</v>
      </c>
      <c r="M48" t="s">
        <v>192</v>
      </c>
      <c r="N48" t="s">
        <v>202</v>
      </c>
      <c r="O48" t="s">
        <v>202</v>
      </c>
      <c r="P48" t="s">
        <v>203</v>
      </c>
      <c r="R48" s="17"/>
    </row>
    <row r="49" spans="1:19">
      <c r="A49" s="18" t="s">
        <v>338</v>
      </c>
      <c r="B49" s="2">
        <v>44644</v>
      </c>
      <c r="C49" t="s">
        <v>218</v>
      </c>
      <c r="D49" t="s">
        <v>202</v>
      </c>
      <c r="E49" t="s">
        <v>202</v>
      </c>
      <c r="F49" t="s">
        <v>192</v>
      </c>
      <c r="G49" t="s">
        <v>202</v>
      </c>
      <c r="H49" t="s">
        <v>202</v>
      </c>
      <c r="I49" t="s">
        <v>202</v>
      </c>
      <c r="J49" t="s">
        <v>202</v>
      </c>
      <c r="K49" t="s">
        <v>202</v>
      </c>
      <c r="L49" t="s">
        <v>202</v>
      </c>
      <c r="M49" t="s">
        <v>202</v>
      </c>
      <c r="N49" t="s">
        <v>202</v>
      </c>
      <c r="O49" t="s">
        <v>192</v>
      </c>
      <c r="P49" t="s">
        <v>203</v>
      </c>
      <c r="R49" s="17"/>
    </row>
    <row r="50" spans="1:19">
      <c r="A50" s="19" t="s">
        <v>326</v>
      </c>
      <c r="B50" s="2">
        <v>44651</v>
      </c>
      <c r="C50" t="s">
        <v>218</v>
      </c>
      <c r="D50" t="s">
        <v>202</v>
      </c>
      <c r="E50" t="s">
        <v>202</v>
      </c>
      <c r="F50" t="s">
        <v>192</v>
      </c>
      <c r="G50" t="s">
        <v>202</v>
      </c>
      <c r="H50" t="s">
        <v>202</v>
      </c>
      <c r="I50" t="s">
        <v>202</v>
      </c>
      <c r="J50" t="s">
        <v>202</v>
      </c>
      <c r="K50" t="s">
        <v>202</v>
      </c>
      <c r="M50" t="s">
        <v>202</v>
      </c>
      <c r="N50" t="s">
        <v>202</v>
      </c>
      <c r="O50" t="s">
        <v>192</v>
      </c>
      <c r="P50" t="s">
        <v>230</v>
      </c>
      <c r="R50" s="17"/>
    </row>
    <row r="51" spans="1:19" ht="34.5" customHeight="1">
      <c r="A51" s="18" t="s">
        <v>351</v>
      </c>
      <c r="B51" s="56">
        <v>44669</v>
      </c>
      <c r="C51" s="11" t="s">
        <v>352</v>
      </c>
      <c r="D51" t="s">
        <v>192</v>
      </c>
      <c r="E51" t="s">
        <v>192</v>
      </c>
      <c r="F51" t="s">
        <v>192</v>
      </c>
      <c r="G51" t="s">
        <v>202</v>
      </c>
      <c r="H51" t="s">
        <v>192</v>
      </c>
      <c r="I51" t="s">
        <v>355</v>
      </c>
      <c r="J51" t="s">
        <v>202</v>
      </c>
      <c r="K51" t="s">
        <v>202</v>
      </c>
      <c r="L51" t="s">
        <v>192</v>
      </c>
      <c r="M51" t="s">
        <v>192</v>
      </c>
      <c r="N51" t="s">
        <v>202</v>
      </c>
      <c r="O51" t="s">
        <v>192</v>
      </c>
      <c r="P51" t="s">
        <v>203</v>
      </c>
      <c r="R51" s="17"/>
    </row>
    <row r="52" spans="1:19">
      <c r="A52" t="s">
        <v>262</v>
      </c>
      <c r="B52" s="2">
        <v>44671</v>
      </c>
      <c r="C52" t="s">
        <v>218</v>
      </c>
      <c r="D52" t="s">
        <v>202</v>
      </c>
      <c r="E52" t="s">
        <v>202</v>
      </c>
      <c r="F52" t="s">
        <v>202</v>
      </c>
      <c r="G52" t="s">
        <v>192</v>
      </c>
      <c r="H52" t="s">
        <v>202</v>
      </c>
      <c r="I52" t="s">
        <v>192</v>
      </c>
      <c r="J52" t="s">
        <v>202</v>
      </c>
      <c r="K52" t="s">
        <v>202</v>
      </c>
      <c r="L52" t="s">
        <v>202</v>
      </c>
      <c r="M52" t="s">
        <v>192</v>
      </c>
      <c r="N52" t="s">
        <v>202</v>
      </c>
      <c r="O52" t="s">
        <v>192</v>
      </c>
      <c r="P52" t="s">
        <v>203</v>
      </c>
      <c r="R52" s="17"/>
    </row>
    <row r="53" spans="1:19" ht="30">
      <c r="A53" t="s">
        <v>334</v>
      </c>
      <c r="B53" s="2">
        <v>44672</v>
      </c>
      <c r="C53" s="11" t="s">
        <v>353</v>
      </c>
      <c r="D53" t="s">
        <v>192</v>
      </c>
      <c r="E53" t="s">
        <v>192</v>
      </c>
      <c r="F53" t="s">
        <v>192</v>
      </c>
      <c r="G53" t="s">
        <v>192</v>
      </c>
      <c r="H53" t="s">
        <v>192</v>
      </c>
      <c r="I53" t="s">
        <v>354</v>
      </c>
      <c r="J53" t="s">
        <v>192</v>
      </c>
      <c r="K53" t="s">
        <v>192</v>
      </c>
      <c r="L53" t="s">
        <v>192</v>
      </c>
      <c r="M53" t="s">
        <v>192</v>
      </c>
      <c r="N53" t="s">
        <v>192</v>
      </c>
      <c r="O53" t="s">
        <v>192</v>
      </c>
      <c r="P53" t="s">
        <v>203</v>
      </c>
      <c r="R53" s="17"/>
    </row>
    <row r="54" spans="1:19">
      <c r="A54" t="s">
        <v>226</v>
      </c>
      <c r="B54" s="2">
        <v>44677</v>
      </c>
      <c r="C54" t="s">
        <v>201</v>
      </c>
      <c r="D54" t="s">
        <v>202</v>
      </c>
      <c r="E54" t="s">
        <v>202</v>
      </c>
      <c r="F54" t="s">
        <v>202</v>
      </c>
      <c r="G54" t="s">
        <v>192</v>
      </c>
      <c r="H54" t="s">
        <v>202</v>
      </c>
      <c r="I54" t="s">
        <v>192</v>
      </c>
      <c r="J54" t="s">
        <v>202</v>
      </c>
      <c r="K54" t="s">
        <v>202</v>
      </c>
      <c r="N54" t="s">
        <v>202</v>
      </c>
      <c r="O54" t="s">
        <v>192</v>
      </c>
      <c r="P54" t="s">
        <v>203</v>
      </c>
      <c r="R54" s="17"/>
    </row>
    <row r="55" spans="1:19" ht="30">
      <c r="A55" t="s">
        <v>234</v>
      </c>
      <c r="B55" s="2">
        <v>44698</v>
      </c>
      <c r="C55" s="11" t="s">
        <v>360</v>
      </c>
      <c r="D55" t="s">
        <v>192</v>
      </c>
      <c r="E55" t="s">
        <v>192</v>
      </c>
      <c r="F55" t="s">
        <v>202</v>
      </c>
      <c r="G55" t="s">
        <v>192</v>
      </c>
      <c r="H55" t="s">
        <v>355</v>
      </c>
      <c r="I55" t="s">
        <v>192</v>
      </c>
    </row>
    <row r="56" spans="1:19">
      <c r="A56" t="s">
        <v>357</v>
      </c>
      <c r="B56" s="2">
        <v>44700</v>
      </c>
      <c r="C56" t="s">
        <v>218</v>
      </c>
      <c r="D56" t="s">
        <v>202</v>
      </c>
      <c r="E56" t="s">
        <v>202</v>
      </c>
      <c r="F56" t="s">
        <v>192</v>
      </c>
      <c r="G56" t="s">
        <v>202</v>
      </c>
      <c r="H56" t="s">
        <v>192</v>
      </c>
      <c r="I56" t="s">
        <v>202</v>
      </c>
      <c r="J56" t="s">
        <v>202</v>
      </c>
      <c r="K56" t="s">
        <v>202</v>
      </c>
      <c r="L56" t="s">
        <v>192</v>
      </c>
      <c r="M56" t="s">
        <v>202</v>
      </c>
      <c r="N56" t="s">
        <v>202</v>
      </c>
      <c r="O56" t="s">
        <v>192</v>
      </c>
      <c r="P56" t="s">
        <v>230</v>
      </c>
      <c r="R56" s="17"/>
    </row>
    <row r="57" spans="1:19" ht="30">
      <c r="A57" t="s">
        <v>351</v>
      </c>
      <c r="B57" s="2">
        <v>44700</v>
      </c>
      <c r="C57" s="11" t="s">
        <v>358</v>
      </c>
      <c r="D57" t="s">
        <v>192</v>
      </c>
      <c r="E57" t="s">
        <v>192</v>
      </c>
      <c r="F57" t="s">
        <v>202</v>
      </c>
      <c r="G57" t="s">
        <v>202</v>
      </c>
      <c r="H57" t="s">
        <v>355</v>
      </c>
      <c r="I57" t="s">
        <v>192</v>
      </c>
      <c r="J57" t="s">
        <v>202</v>
      </c>
      <c r="K57" t="s">
        <v>202</v>
      </c>
      <c r="L57" s="11" t="s">
        <v>355</v>
      </c>
      <c r="M57" t="s">
        <v>192</v>
      </c>
      <c r="N57" t="s">
        <v>202</v>
      </c>
      <c r="O57" t="s">
        <v>192</v>
      </c>
      <c r="P57" t="s">
        <v>203</v>
      </c>
      <c r="R57" s="17"/>
      <c r="S57" t="s">
        <v>359</v>
      </c>
    </row>
    <row r="58" spans="1:19">
      <c r="A58" t="s">
        <v>356</v>
      </c>
      <c r="B58" s="2">
        <v>44706</v>
      </c>
      <c r="C58" t="s">
        <v>201</v>
      </c>
      <c r="D58" t="s">
        <v>202</v>
      </c>
      <c r="E58" t="s">
        <v>192</v>
      </c>
      <c r="F58" t="s">
        <v>202</v>
      </c>
      <c r="G58" t="s">
        <v>192</v>
      </c>
      <c r="H58" t="s">
        <v>202</v>
      </c>
      <c r="I58" t="s">
        <v>192</v>
      </c>
      <c r="J58" t="s">
        <v>202</v>
      </c>
      <c r="K58" t="s">
        <v>202</v>
      </c>
      <c r="L58" t="s">
        <v>202</v>
      </c>
      <c r="M58" t="s">
        <v>192</v>
      </c>
      <c r="N58" t="s">
        <v>202</v>
      </c>
      <c r="O58" t="s">
        <v>192</v>
      </c>
      <c r="P58" t="s">
        <v>203</v>
      </c>
      <c r="R58" s="17"/>
    </row>
    <row r="59" spans="1:19" ht="45">
      <c r="A59" t="s">
        <v>332</v>
      </c>
      <c r="B59" s="2">
        <v>44706</v>
      </c>
      <c r="C59" s="11" t="s">
        <v>363</v>
      </c>
      <c r="D59" t="s">
        <v>192</v>
      </c>
      <c r="E59" t="s">
        <v>192</v>
      </c>
      <c r="F59" t="s">
        <v>192</v>
      </c>
      <c r="G59" t="s">
        <v>192</v>
      </c>
      <c r="H59" t="s">
        <v>202</v>
      </c>
      <c r="I59" t="s">
        <v>192</v>
      </c>
      <c r="S59" t="s">
        <v>364</v>
      </c>
    </row>
    <row r="60" spans="1:19">
      <c r="A60" t="s">
        <v>361</v>
      </c>
      <c r="B60" s="2">
        <v>44712</v>
      </c>
      <c r="C60" t="s">
        <v>201</v>
      </c>
      <c r="D60" t="s">
        <v>202</v>
      </c>
      <c r="E60" t="s">
        <v>192</v>
      </c>
      <c r="F60" t="s">
        <v>192</v>
      </c>
      <c r="G60" t="s">
        <v>192</v>
      </c>
      <c r="H60" t="s">
        <v>362</v>
      </c>
      <c r="I60" t="s">
        <v>192</v>
      </c>
      <c r="J60" t="s">
        <v>202</v>
      </c>
      <c r="K60" t="s">
        <v>202</v>
      </c>
      <c r="L60" t="s">
        <v>202</v>
      </c>
      <c r="M60" t="s">
        <v>192</v>
      </c>
      <c r="N60" t="s">
        <v>202</v>
      </c>
      <c r="O60" t="s">
        <v>192</v>
      </c>
      <c r="P60" t="s">
        <v>203</v>
      </c>
      <c r="R60" s="17"/>
    </row>
    <row r="61" spans="1:19">
      <c r="A61" t="s">
        <v>311</v>
      </c>
      <c r="B61" s="2">
        <v>44714</v>
      </c>
      <c r="C61" t="s">
        <v>201</v>
      </c>
      <c r="D61" t="s">
        <v>202</v>
      </c>
      <c r="E61" t="s">
        <v>192</v>
      </c>
      <c r="F61" t="s">
        <v>202</v>
      </c>
      <c r="G61" t="s">
        <v>192</v>
      </c>
      <c r="H61" t="s">
        <v>202</v>
      </c>
      <c r="I61" t="s">
        <v>192</v>
      </c>
      <c r="J61" t="s">
        <v>202</v>
      </c>
      <c r="K61" t="s">
        <v>202</v>
      </c>
      <c r="L61" t="s">
        <v>202</v>
      </c>
      <c r="M61" t="s">
        <v>192</v>
      </c>
      <c r="N61" t="s">
        <v>202</v>
      </c>
      <c r="O61" t="s">
        <v>192</v>
      </c>
      <c r="P61" t="s">
        <v>203</v>
      </c>
      <c r="R61" s="17"/>
    </row>
    <row r="62" spans="1:19">
      <c r="A62" t="s">
        <v>365</v>
      </c>
      <c r="B62" s="2">
        <v>44727</v>
      </c>
      <c r="C62" t="s">
        <v>218</v>
      </c>
      <c r="D62" t="s">
        <v>202</v>
      </c>
      <c r="E62" t="s">
        <v>202</v>
      </c>
      <c r="F62" t="s">
        <v>202</v>
      </c>
      <c r="G62" t="s">
        <v>202</v>
      </c>
      <c r="H62" t="s">
        <v>202</v>
      </c>
      <c r="I62" t="s">
        <v>202</v>
      </c>
      <c r="J62" t="s">
        <v>202</v>
      </c>
      <c r="K62" t="s">
        <v>202</v>
      </c>
      <c r="L62" t="s">
        <v>192</v>
      </c>
      <c r="M62" t="s">
        <v>202</v>
      </c>
      <c r="N62" t="s">
        <v>202</v>
      </c>
      <c r="O62" t="s">
        <v>192</v>
      </c>
      <c r="P62" t="s">
        <v>336</v>
      </c>
      <c r="R62" s="17"/>
    </row>
    <row r="63" spans="1:19">
      <c r="A63" t="s">
        <v>226</v>
      </c>
      <c r="B63" s="2">
        <v>44733</v>
      </c>
      <c r="C63" t="s">
        <v>201</v>
      </c>
      <c r="D63" t="s">
        <v>192</v>
      </c>
      <c r="E63" t="s">
        <v>192</v>
      </c>
      <c r="F63" t="s">
        <v>192</v>
      </c>
      <c r="G63" t="s">
        <v>192</v>
      </c>
      <c r="H63" t="s">
        <v>202</v>
      </c>
      <c r="I63" t="s">
        <v>192</v>
      </c>
      <c r="J63" t="s">
        <v>202</v>
      </c>
      <c r="K63" t="s">
        <v>202</v>
      </c>
      <c r="N63" t="s">
        <v>202</v>
      </c>
      <c r="O63" t="s">
        <v>192</v>
      </c>
      <c r="P63" t="s">
        <v>203</v>
      </c>
      <c r="R63" s="17"/>
    </row>
    <row r="64" spans="1:19">
      <c r="A64" t="s">
        <v>366</v>
      </c>
      <c r="B64" s="2">
        <v>44735</v>
      </c>
      <c r="C64" t="s">
        <v>201</v>
      </c>
      <c r="D64" t="s">
        <v>192</v>
      </c>
      <c r="E64" t="s">
        <v>192</v>
      </c>
      <c r="F64" t="s">
        <v>192</v>
      </c>
      <c r="G64" t="s">
        <v>192</v>
      </c>
      <c r="H64" t="s">
        <v>202</v>
      </c>
      <c r="I64" t="s">
        <v>192</v>
      </c>
      <c r="J64" t="s">
        <v>202</v>
      </c>
      <c r="K64" t="s">
        <v>202</v>
      </c>
      <c r="L64" t="s">
        <v>202</v>
      </c>
      <c r="M64" t="s">
        <v>202</v>
      </c>
      <c r="N64" t="s">
        <v>202</v>
      </c>
      <c r="O64" t="s">
        <v>202</v>
      </c>
      <c r="P64" t="s">
        <v>203</v>
      </c>
      <c r="R64" s="17"/>
    </row>
    <row r="65" spans="1:18">
      <c r="A65" t="s">
        <v>366</v>
      </c>
      <c r="B65" s="2">
        <v>44748</v>
      </c>
      <c r="C65" t="s">
        <v>201</v>
      </c>
      <c r="D65" t="s">
        <v>192</v>
      </c>
      <c r="E65" t="s">
        <v>192</v>
      </c>
      <c r="F65" t="s">
        <v>192</v>
      </c>
      <c r="G65" t="s">
        <v>192</v>
      </c>
      <c r="H65" t="s">
        <v>202</v>
      </c>
      <c r="I65" t="s">
        <v>192</v>
      </c>
      <c r="J65" t="s">
        <v>202</v>
      </c>
      <c r="K65" t="s">
        <v>202</v>
      </c>
      <c r="L65" t="s">
        <v>202</v>
      </c>
      <c r="M65" t="s">
        <v>202</v>
      </c>
      <c r="N65" t="s">
        <v>202</v>
      </c>
      <c r="O65" t="s">
        <v>192</v>
      </c>
      <c r="P65" t="s">
        <v>203</v>
      </c>
      <c r="R65" s="17"/>
    </row>
    <row r="66" spans="1:18">
      <c r="A66" t="s">
        <v>334</v>
      </c>
      <c r="B66" s="2">
        <v>44768</v>
      </c>
      <c r="C66" t="s">
        <v>201</v>
      </c>
      <c r="D66" t="s">
        <v>202</v>
      </c>
      <c r="E66" t="s">
        <v>192</v>
      </c>
      <c r="F66" t="s">
        <v>202</v>
      </c>
      <c r="G66" t="s">
        <v>202</v>
      </c>
      <c r="H66" t="s">
        <v>202</v>
      </c>
      <c r="I66" t="s">
        <v>202</v>
      </c>
      <c r="J66" t="s">
        <v>202</v>
      </c>
      <c r="K66" t="s">
        <v>202</v>
      </c>
      <c r="M66" t="s">
        <v>202</v>
      </c>
      <c r="N66" t="s">
        <v>202</v>
      </c>
      <c r="O66" t="s">
        <v>192</v>
      </c>
      <c r="P66" t="s">
        <v>203</v>
      </c>
      <c r="R66" s="17"/>
    </row>
    <row r="67" spans="1:18" ht="45">
      <c r="A67" t="s">
        <v>367</v>
      </c>
      <c r="B67" s="2">
        <v>44770</v>
      </c>
      <c r="C67" s="11" t="s">
        <v>368</v>
      </c>
      <c r="D67" t="s">
        <v>192</v>
      </c>
      <c r="E67" t="s">
        <v>202</v>
      </c>
      <c r="F67" t="s">
        <v>192</v>
      </c>
      <c r="G67" t="s">
        <v>192</v>
      </c>
      <c r="H67" t="s">
        <v>192</v>
      </c>
      <c r="I67" t="s">
        <v>192</v>
      </c>
      <c r="J67" t="s">
        <v>202</v>
      </c>
      <c r="K67" t="s">
        <v>202</v>
      </c>
      <c r="N67" t="s">
        <v>202</v>
      </c>
      <c r="O67" t="s">
        <v>192</v>
      </c>
      <c r="P67" t="s">
        <v>203</v>
      </c>
      <c r="R67" s="17"/>
    </row>
    <row r="68" spans="1:18" ht="30">
      <c r="A68" t="s">
        <v>351</v>
      </c>
      <c r="B68" s="2">
        <v>44770</v>
      </c>
      <c r="C68" s="11" t="s">
        <v>386</v>
      </c>
      <c r="D68" t="s">
        <v>192</v>
      </c>
      <c r="E68" t="s">
        <v>192</v>
      </c>
      <c r="F68" t="s">
        <v>202</v>
      </c>
      <c r="G68" t="s">
        <v>192</v>
      </c>
      <c r="H68" t="s">
        <v>355</v>
      </c>
      <c r="I68" t="s">
        <v>192</v>
      </c>
      <c r="J68" t="s">
        <v>202</v>
      </c>
      <c r="K68" t="s">
        <v>202</v>
      </c>
      <c r="L68" s="11" t="s">
        <v>355</v>
      </c>
      <c r="M68" t="s">
        <v>192</v>
      </c>
      <c r="N68" t="s">
        <v>202</v>
      </c>
      <c r="O68" t="s">
        <v>192</v>
      </c>
      <c r="P68" t="s">
        <v>387</v>
      </c>
      <c r="R68" s="17"/>
    </row>
    <row r="69" spans="1:18">
      <c r="A69" t="s">
        <v>388</v>
      </c>
      <c r="B69" s="2">
        <v>44809</v>
      </c>
      <c r="C69" t="s">
        <v>201</v>
      </c>
      <c r="D69" t="s">
        <v>202</v>
      </c>
      <c r="E69" t="s">
        <v>202</v>
      </c>
      <c r="F69" t="s">
        <v>202</v>
      </c>
      <c r="G69" t="s">
        <v>202</v>
      </c>
      <c r="H69" t="s">
        <v>362</v>
      </c>
      <c r="I69" t="s">
        <v>202</v>
      </c>
      <c r="J69" t="s">
        <v>202</v>
      </c>
      <c r="K69" t="s">
        <v>202</v>
      </c>
      <c r="L69" t="s">
        <v>202</v>
      </c>
      <c r="M69" t="s">
        <v>192</v>
      </c>
      <c r="N69" t="s">
        <v>202</v>
      </c>
      <c r="O69" t="s">
        <v>192</v>
      </c>
      <c r="P69" t="s">
        <v>203</v>
      </c>
      <c r="R69" s="17"/>
    </row>
    <row r="70" spans="1:18">
      <c r="A70" t="s">
        <v>389</v>
      </c>
      <c r="B70" s="2">
        <v>44810</v>
      </c>
      <c r="C70" t="s">
        <v>218</v>
      </c>
      <c r="D70" t="s">
        <v>202</v>
      </c>
      <c r="E70" t="s">
        <v>202</v>
      </c>
      <c r="F70" t="s">
        <v>192</v>
      </c>
      <c r="G70" t="s">
        <v>202</v>
      </c>
      <c r="H70" t="s">
        <v>202</v>
      </c>
      <c r="I70" t="s">
        <v>202</v>
      </c>
      <c r="J70" t="s">
        <v>202</v>
      </c>
      <c r="K70" t="s">
        <v>202</v>
      </c>
      <c r="L70" t="s">
        <v>192</v>
      </c>
      <c r="M70" t="s">
        <v>202</v>
      </c>
      <c r="N70" t="s">
        <v>202</v>
      </c>
      <c r="O70" t="s">
        <v>192</v>
      </c>
      <c r="P70" t="s">
        <v>336</v>
      </c>
      <c r="R70" s="17"/>
    </row>
    <row r="71" spans="1:18">
      <c r="A71" t="s">
        <v>390</v>
      </c>
      <c r="B71" s="2">
        <v>44810</v>
      </c>
      <c r="C71" t="s">
        <v>218</v>
      </c>
      <c r="D71" t="s">
        <v>202</v>
      </c>
      <c r="E71" t="s">
        <v>202</v>
      </c>
      <c r="F71" t="s">
        <v>192</v>
      </c>
      <c r="G71" t="s">
        <v>202</v>
      </c>
      <c r="H71" t="s">
        <v>202</v>
      </c>
      <c r="I71" t="s">
        <v>202</v>
      </c>
      <c r="J71" t="s">
        <v>202</v>
      </c>
      <c r="K71" t="s">
        <v>202</v>
      </c>
      <c r="L71" t="s">
        <v>192</v>
      </c>
      <c r="M71" t="s">
        <v>202</v>
      </c>
      <c r="N71" t="s">
        <v>202</v>
      </c>
      <c r="O71" t="s">
        <v>192</v>
      </c>
      <c r="P71" t="s">
        <v>336</v>
      </c>
      <c r="R71" s="17"/>
    </row>
    <row r="72" spans="1:18">
      <c r="A72" t="s">
        <v>264</v>
      </c>
      <c r="B72" s="2">
        <v>44811</v>
      </c>
      <c r="C72" t="s">
        <v>218</v>
      </c>
      <c r="D72" t="s">
        <v>202</v>
      </c>
      <c r="E72" t="s">
        <v>202</v>
      </c>
      <c r="F72" t="s">
        <v>192</v>
      </c>
      <c r="G72" t="s">
        <v>202</v>
      </c>
      <c r="H72" t="s">
        <v>202</v>
      </c>
      <c r="I72" t="s">
        <v>202</v>
      </c>
      <c r="J72" t="s">
        <v>202</v>
      </c>
      <c r="K72" t="s">
        <v>202</v>
      </c>
      <c r="L72" t="s">
        <v>192</v>
      </c>
      <c r="M72" t="s">
        <v>202</v>
      </c>
      <c r="N72" t="s">
        <v>202</v>
      </c>
      <c r="O72" t="s">
        <v>192</v>
      </c>
      <c r="P72" t="s">
        <v>336</v>
      </c>
      <c r="R72" s="17"/>
    </row>
    <row r="73" spans="1:18">
      <c r="A73" t="s">
        <v>328</v>
      </c>
      <c r="B73" s="2">
        <v>44816</v>
      </c>
      <c r="C73" t="s">
        <v>218</v>
      </c>
      <c r="D73" t="s">
        <v>202</v>
      </c>
      <c r="E73" t="s">
        <v>202</v>
      </c>
      <c r="F73" t="s">
        <v>192</v>
      </c>
      <c r="G73" t="s">
        <v>202</v>
      </c>
      <c r="H73" t="s">
        <v>202</v>
      </c>
      <c r="I73" t="s">
        <v>202</v>
      </c>
      <c r="J73" t="s">
        <v>202</v>
      </c>
      <c r="K73" t="s">
        <v>202</v>
      </c>
      <c r="L73" t="s">
        <v>192</v>
      </c>
      <c r="M73" t="s">
        <v>202</v>
      </c>
      <c r="N73" t="s">
        <v>202</v>
      </c>
      <c r="O73" t="s">
        <v>192</v>
      </c>
      <c r="P73" t="s">
        <v>336</v>
      </c>
      <c r="R73" s="17"/>
    </row>
    <row r="74" spans="1:18" ht="30">
      <c r="A74" t="s">
        <v>332</v>
      </c>
      <c r="B74" s="2">
        <v>44818</v>
      </c>
      <c r="C74" s="11" t="s">
        <v>386</v>
      </c>
      <c r="D74" s="33" t="s">
        <v>277</v>
      </c>
      <c r="E74" s="33" t="s">
        <v>277</v>
      </c>
      <c r="F74" s="33" t="s">
        <v>277</v>
      </c>
      <c r="G74" s="33" t="s">
        <v>277</v>
      </c>
      <c r="H74" s="33" t="s">
        <v>277</v>
      </c>
      <c r="I74" s="33" t="s">
        <v>277</v>
      </c>
      <c r="J74" s="33" t="s">
        <v>277</v>
      </c>
      <c r="K74" s="33" t="s">
        <v>277</v>
      </c>
      <c r="L74" s="33" t="s">
        <v>277</v>
      </c>
      <c r="M74" s="33" t="s">
        <v>277</v>
      </c>
      <c r="N74" s="33" t="s">
        <v>277</v>
      </c>
      <c r="O74" s="33" t="s">
        <v>277</v>
      </c>
      <c r="P74" s="33" t="s">
        <v>277</v>
      </c>
      <c r="R74" s="17"/>
    </row>
    <row r="75" spans="1:18">
      <c r="A75" t="s">
        <v>212</v>
      </c>
      <c r="B75" s="2">
        <v>44819</v>
      </c>
      <c r="C75" t="s">
        <v>218</v>
      </c>
      <c r="D75" t="s">
        <v>202</v>
      </c>
      <c r="E75" t="s">
        <v>202</v>
      </c>
      <c r="F75" t="s">
        <v>192</v>
      </c>
      <c r="G75" t="s">
        <v>202</v>
      </c>
      <c r="H75" t="s">
        <v>202</v>
      </c>
      <c r="I75" t="s">
        <v>202</v>
      </c>
      <c r="J75" t="s">
        <v>202</v>
      </c>
      <c r="K75" t="s">
        <v>202</v>
      </c>
      <c r="L75" t="s">
        <v>192</v>
      </c>
      <c r="M75" t="s">
        <v>202</v>
      </c>
      <c r="N75" t="s">
        <v>202</v>
      </c>
      <c r="O75" t="s">
        <v>192</v>
      </c>
      <c r="P75" t="s">
        <v>203</v>
      </c>
      <c r="R75" s="17"/>
    </row>
    <row r="76" spans="1:18">
      <c r="A76" t="s">
        <v>332</v>
      </c>
      <c r="B76" s="2">
        <v>44826</v>
      </c>
      <c r="C76" t="s">
        <v>201</v>
      </c>
      <c r="D76" t="s">
        <v>202</v>
      </c>
      <c r="E76" t="s">
        <v>192</v>
      </c>
      <c r="F76" t="s">
        <v>202</v>
      </c>
      <c r="G76" t="s">
        <v>202</v>
      </c>
      <c r="H76" t="s">
        <v>202</v>
      </c>
      <c r="I76" t="s">
        <v>192</v>
      </c>
      <c r="J76" t="s">
        <v>202</v>
      </c>
      <c r="K76" t="s">
        <v>202</v>
      </c>
      <c r="L76" t="s">
        <v>202</v>
      </c>
      <c r="M76" t="s">
        <v>192</v>
      </c>
      <c r="N76" t="s">
        <v>202</v>
      </c>
      <c r="O76" t="s">
        <v>192</v>
      </c>
      <c r="P76" t="s">
        <v>203</v>
      </c>
      <c r="R76" s="17"/>
    </row>
    <row r="77" spans="1:18" ht="30">
      <c r="A77" t="s">
        <v>366</v>
      </c>
      <c r="B77" s="2">
        <v>44830</v>
      </c>
      <c r="C77" s="11" t="s">
        <v>386</v>
      </c>
      <c r="D77" s="33" t="s">
        <v>277</v>
      </c>
      <c r="E77" s="33" t="s">
        <v>277</v>
      </c>
      <c r="F77" s="33" t="s">
        <v>277</v>
      </c>
      <c r="G77" s="33" t="s">
        <v>277</v>
      </c>
      <c r="H77" s="33" t="s">
        <v>277</v>
      </c>
      <c r="I77" s="33" t="s">
        <v>277</v>
      </c>
      <c r="J77" s="33" t="s">
        <v>277</v>
      </c>
      <c r="K77" s="33" t="s">
        <v>277</v>
      </c>
      <c r="L77" s="33" t="s">
        <v>277</v>
      </c>
      <c r="M77" s="33" t="s">
        <v>277</v>
      </c>
      <c r="N77" s="33" t="s">
        <v>277</v>
      </c>
      <c r="O77" s="33" t="s">
        <v>277</v>
      </c>
      <c r="P77" s="33" t="s">
        <v>277</v>
      </c>
      <c r="R77" s="17"/>
    </row>
    <row r="78" spans="1:18">
      <c r="A78" t="s">
        <v>262</v>
      </c>
      <c r="B78" s="2">
        <v>44834</v>
      </c>
      <c r="C78" t="s">
        <v>201</v>
      </c>
      <c r="D78" t="s">
        <v>192</v>
      </c>
      <c r="E78" t="s">
        <v>192</v>
      </c>
      <c r="F78" t="s">
        <v>192</v>
      </c>
      <c r="G78" t="s">
        <v>202</v>
      </c>
      <c r="H78" t="s">
        <v>202</v>
      </c>
      <c r="I78" t="s">
        <v>192</v>
      </c>
      <c r="J78" t="s">
        <v>202</v>
      </c>
      <c r="K78" t="s">
        <v>202</v>
      </c>
      <c r="L78" t="s">
        <v>202</v>
      </c>
      <c r="M78" t="s">
        <v>192</v>
      </c>
      <c r="N78" t="s">
        <v>202</v>
      </c>
      <c r="O78" t="s">
        <v>192</v>
      </c>
      <c r="P78" t="s">
        <v>203</v>
      </c>
      <c r="R78" s="17"/>
    </row>
    <row r="79" spans="1:18">
      <c r="A79" t="s">
        <v>408</v>
      </c>
      <c r="B79" s="2">
        <v>44853</v>
      </c>
      <c r="C79" t="s">
        <v>201</v>
      </c>
      <c r="D79" t="s">
        <v>192</v>
      </c>
      <c r="E79" t="s">
        <v>192</v>
      </c>
      <c r="F79" t="s">
        <v>202</v>
      </c>
      <c r="G79" t="s">
        <v>202</v>
      </c>
      <c r="H79" t="s">
        <v>202</v>
      </c>
      <c r="I79" t="s">
        <v>202</v>
      </c>
      <c r="J79" t="s">
        <v>202</v>
      </c>
      <c r="N79" t="s">
        <v>202</v>
      </c>
      <c r="O79" t="s">
        <v>192</v>
      </c>
      <c r="P79" t="s">
        <v>203</v>
      </c>
      <c r="R79" s="17"/>
    </row>
    <row r="80" spans="1:18">
      <c r="A80" t="s">
        <v>234</v>
      </c>
      <c r="B80" s="2">
        <v>44858</v>
      </c>
      <c r="C80" t="s">
        <v>218</v>
      </c>
      <c r="D80" t="s">
        <v>202</v>
      </c>
      <c r="E80" t="s">
        <v>202</v>
      </c>
      <c r="F80" t="s">
        <v>202</v>
      </c>
      <c r="G80" t="s">
        <v>202</v>
      </c>
      <c r="H80" t="s">
        <v>202</v>
      </c>
      <c r="I80" t="s">
        <v>202</v>
      </c>
      <c r="J80" t="s">
        <v>202</v>
      </c>
      <c r="N80" t="s">
        <v>202</v>
      </c>
      <c r="O80" t="s">
        <v>192</v>
      </c>
      <c r="P80" t="s">
        <v>336</v>
      </c>
      <c r="R80" s="17"/>
    </row>
    <row r="81" spans="1:19" ht="30">
      <c r="A81" t="s">
        <v>410</v>
      </c>
      <c r="B81" s="2">
        <v>44859</v>
      </c>
      <c r="C81" s="11" t="s">
        <v>386</v>
      </c>
      <c r="D81" s="33" t="s">
        <v>277</v>
      </c>
      <c r="E81" s="33" t="s">
        <v>277</v>
      </c>
      <c r="F81" s="33" t="s">
        <v>277</v>
      </c>
      <c r="G81" s="33" t="s">
        <v>277</v>
      </c>
      <c r="H81" s="33" t="s">
        <v>277</v>
      </c>
      <c r="I81" s="33" t="s">
        <v>277</v>
      </c>
      <c r="J81" s="33" t="s">
        <v>277</v>
      </c>
      <c r="K81" s="33" t="s">
        <v>277</v>
      </c>
      <c r="L81" s="33" t="s">
        <v>277</v>
      </c>
      <c r="M81" s="33" t="s">
        <v>277</v>
      </c>
      <c r="N81" s="33" t="s">
        <v>277</v>
      </c>
      <c r="O81" s="33" t="s">
        <v>277</v>
      </c>
      <c r="P81" s="33" t="s">
        <v>277</v>
      </c>
      <c r="Q81" s="33"/>
      <c r="R81" s="17"/>
    </row>
    <row r="82" spans="1:19">
      <c r="A82" t="s">
        <v>265</v>
      </c>
      <c r="B82" s="2">
        <v>44860</v>
      </c>
      <c r="C82" t="s">
        <v>218</v>
      </c>
      <c r="D82" t="s">
        <v>202</v>
      </c>
      <c r="E82" t="s">
        <v>202</v>
      </c>
      <c r="F82" t="s">
        <v>202</v>
      </c>
      <c r="G82" t="s">
        <v>202</v>
      </c>
      <c r="H82" t="s">
        <v>202</v>
      </c>
      <c r="I82" t="s">
        <v>202</v>
      </c>
      <c r="J82" t="s">
        <v>202</v>
      </c>
      <c r="N82" t="s">
        <v>202</v>
      </c>
      <c r="O82" t="s">
        <v>192</v>
      </c>
      <c r="P82" t="s">
        <v>203</v>
      </c>
      <c r="R82" s="17"/>
    </row>
    <row r="83" spans="1:19">
      <c r="A83" t="s">
        <v>226</v>
      </c>
      <c r="B83" s="2">
        <v>44867</v>
      </c>
      <c r="C83" t="s">
        <v>218</v>
      </c>
      <c r="D83" t="s">
        <v>202</v>
      </c>
      <c r="E83" t="s">
        <v>202</v>
      </c>
      <c r="F83" t="s">
        <v>192</v>
      </c>
      <c r="G83" t="s">
        <v>192</v>
      </c>
      <c r="H83" t="s">
        <v>202</v>
      </c>
      <c r="I83" t="s">
        <v>192</v>
      </c>
      <c r="J83" t="s">
        <v>202</v>
      </c>
      <c r="K83" t="s">
        <v>202</v>
      </c>
      <c r="L83" t="s">
        <v>202</v>
      </c>
      <c r="M83" t="s">
        <v>192</v>
      </c>
      <c r="N83" t="s">
        <v>202</v>
      </c>
      <c r="O83" t="s">
        <v>192</v>
      </c>
      <c r="P83" t="s">
        <v>203</v>
      </c>
      <c r="R83" s="17"/>
    </row>
    <row r="84" spans="1:19">
      <c r="A84" s="18" t="s">
        <v>412</v>
      </c>
      <c r="B84" s="2">
        <v>44867</v>
      </c>
      <c r="C84" t="s">
        <v>201</v>
      </c>
      <c r="D84" t="s">
        <v>192</v>
      </c>
      <c r="E84" t="s">
        <v>192</v>
      </c>
      <c r="F84" t="s">
        <v>192</v>
      </c>
      <c r="G84" t="s">
        <v>192</v>
      </c>
      <c r="H84" t="s">
        <v>202</v>
      </c>
      <c r="I84" t="s">
        <v>202</v>
      </c>
      <c r="J84" t="s">
        <v>202</v>
      </c>
      <c r="K84" t="s">
        <v>202</v>
      </c>
      <c r="L84" t="s">
        <v>202</v>
      </c>
      <c r="M84" t="s">
        <v>202</v>
      </c>
      <c r="N84" t="s">
        <v>202</v>
      </c>
      <c r="O84" t="s">
        <v>192</v>
      </c>
      <c r="P84" t="s">
        <v>203</v>
      </c>
      <c r="R84" s="17"/>
    </row>
    <row r="85" spans="1:19">
      <c r="A85" s="19" t="s">
        <v>411</v>
      </c>
      <c r="B85" s="2">
        <v>44868</v>
      </c>
      <c r="C85" t="s">
        <v>218</v>
      </c>
      <c r="D85" t="s">
        <v>202</v>
      </c>
      <c r="E85" t="s">
        <v>202</v>
      </c>
      <c r="F85" t="s">
        <v>192</v>
      </c>
      <c r="G85" t="s">
        <v>192</v>
      </c>
      <c r="H85" t="s">
        <v>202</v>
      </c>
      <c r="I85" t="s">
        <v>202</v>
      </c>
      <c r="J85" t="s">
        <v>202</v>
      </c>
      <c r="K85" t="s">
        <v>202</v>
      </c>
      <c r="L85" t="s">
        <v>202</v>
      </c>
      <c r="M85" t="s">
        <v>202</v>
      </c>
      <c r="N85" t="s">
        <v>202</v>
      </c>
      <c r="O85" t="s">
        <v>192</v>
      </c>
      <c r="P85" t="s">
        <v>203</v>
      </c>
      <c r="R85" s="17"/>
    </row>
    <row r="86" spans="1:19">
      <c r="A86" t="s">
        <v>351</v>
      </c>
      <c r="B86" s="2">
        <v>44872</v>
      </c>
      <c r="C86" t="s">
        <v>201</v>
      </c>
      <c r="D86" t="s">
        <v>192</v>
      </c>
      <c r="E86" t="s">
        <v>192</v>
      </c>
      <c r="F86" t="s">
        <v>202</v>
      </c>
      <c r="G86" t="s">
        <v>202</v>
      </c>
      <c r="H86" t="s">
        <v>202</v>
      </c>
      <c r="I86" t="s">
        <v>192</v>
      </c>
      <c r="J86" t="s">
        <v>202</v>
      </c>
      <c r="K86" t="s">
        <v>202</v>
      </c>
      <c r="L86" t="s">
        <v>202</v>
      </c>
      <c r="M86" t="s">
        <v>202</v>
      </c>
      <c r="N86" t="s">
        <v>202</v>
      </c>
      <c r="O86" t="s">
        <v>192</v>
      </c>
      <c r="P86" t="s">
        <v>203</v>
      </c>
      <c r="R86" s="17"/>
    </row>
    <row r="87" spans="1:19">
      <c r="A87" t="s">
        <v>324</v>
      </c>
      <c r="B87" s="2">
        <v>44873</v>
      </c>
      <c r="C87" t="s">
        <v>218</v>
      </c>
      <c r="D87" t="s">
        <v>202</v>
      </c>
      <c r="E87" t="s">
        <v>202</v>
      </c>
      <c r="F87" t="s">
        <v>192</v>
      </c>
      <c r="G87" t="s">
        <v>202</v>
      </c>
      <c r="H87" t="s">
        <v>202</v>
      </c>
      <c r="I87" t="s">
        <v>192</v>
      </c>
      <c r="J87" t="s">
        <v>202</v>
      </c>
      <c r="K87" t="s">
        <v>202</v>
      </c>
      <c r="L87" t="s">
        <v>192</v>
      </c>
      <c r="M87" t="s">
        <v>202</v>
      </c>
      <c r="N87" t="s">
        <v>202</v>
      </c>
      <c r="O87" t="s">
        <v>192</v>
      </c>
      <c r="P87" t="s">
        <v>203</v>
      </c>
      <c r="R87" s="17"/>
    </row>
    <row r="88" spans="1:19">
      <c r="A88" t="s">
        <v>215</v>
      </c>
      <c r="B88" s="2">
        <v>44874</v>
      </c>
      <c r="C88" t="s">
        <v>218</v>
      </c>
      <c r="D88" t="s">
        <v>202</v>
      </c>
      <c r="E88" t="s">
        <v>202</v>
      </c>
      <c r="F88" t="s">
        <v>192</v>
      </c>
      <c r="G88" t="s">
        <v>202</v>
      </c>
      <c r="H88" t="s">
        <v>202</v>
      </c>
      <c r="I88" t="s">
        <v>202</v>
      </c>
      <c r="J88" t="s">
        <v>202</v>
      </c>
      <c r="K88" t="s">
        <v>202</v>
      </c>
      <c r="N88" t="s">
        <v>202</v>
      </c>
      <c r="O88" t="s">
        <v>192</v>
      </c>
      <c r="P88" t="s">
        <v>203</v>
      </c>
      <c r="R88" s="17"/>
      <c r="S88" t="s">
        <v>359</v>
      </c>
    </row>
    <row r="89" spans="1:19">
      <c r="A89" t="s">
        <v>413</v>
      </c>
      <c r="B89" s="2">
        <v>44875</v>
      </c>
      <c r="C89" t="s">
        <v>201</v>
      </c>
      <c r="D89" t="s">
        <v>192</v>
      </c>
      <c r="E89" t="s">
        <v>192</v>
      </c>
      <c r="F89" t="s">
        <v>192</v>
      </c>
      <c r="G89" t="s">
        <v>192</v>
      </c>
      <c r="H89" t="s">
        <v>192</v>
      </c>
      <c r="I89" t="s">
        <v>202</v>
      </c>
      <c r="J89" t="s">
        <v>202</v>
      </c>
      <c r="K89" t="s">
        <v>202</v>
      </c>
      <c r="L89" t="s">
        <v>202</v>
      </c>
      <c r="M89" t="s">
        <v>202</v>
      </c>
      <c r="N89" t="s">
        <v>202</v>
      </c>
      <c r="O89" t="s">
        <v>192</v>
      </c>
      <c r="P89" t="s">
        <v>203</v>
      </c>
      <c r="R89" s="17"/>
    </row>
    <row r="90" spans="1:19">
      <c r="A90" t="s">
        <v>335</v>
      </c>
      <c r="B90" s="2">
        <v>44879</v>
      </c>
      <c r="C90" t="s">
        <v>218</v>
      </c>
      <c r="D90" t="s">
        <v>202</v>
      </c>
      <c r="E90" t="s">
        <v>192</v>
      </c>
      <c r="F90" t="s">
        <v>202</v>
      </c>
      <c r="G90" t="s">
        <v>202</v>
      </c>
      <c r="H90" t="s">
        <v>202</v>
      </c>
      <c r="I90" t="s">
        <v>202</v>
      </c>
      <c r="J90" t="s">
        <v>202</v>
      </c>
      <c r="K90" t="s">
        <v>202</v>
      </c>
      <c r="L90" t="s">
        <v>202</v>
      </c>
      <c r="M90" t="s">
        <v>202</v>
      </c>
      <c r="N90" t="s">
        <v>202</v>
      </c>
      <c r="O90" t="s">
        <v>192</v>
      </c>
      <c r="P90" t="s">
        <v>203</v>
      </c>
      <c r="R90" s="17"/>
    </row>
    <row r="91" spans="1:19">
      <c r="A91" t="s">
        <v>338</v>
      </c>
      <c r="B91" s="2">
        <v>44880</v>
      </c>
      <c r="C91" t="s">
        <v>201</v>
      </c>
      <c r="D91" t="s">
        <v>192</v>
      </c>
      <c r="E91" t="s">
        <v>192</v>
      </c>
      <c r="F91" t="s">
        <v>202</v>
      </c>
      <c r="G91" t="s">
        <v>202</v>
      </c>
      <c r="H91" t="s">
        <v>202</v>
      </c>
      <c r="I91" t="s">
        <v>202</v>
      </c>
      <c r="J91" t="s">
        <v>202</v>
      </c>
      <c r="K91" t="s">
        <v>202</v>
      </c>
      <c r="L91" t="s">
        <v>192</v>
      </c>
      <c r="M91" t="s">
        <v>202</v>
      </c>
      <c r="N91" t="s">
        <v>202</v>
      </c>
      <c r="O91" t="s">
        <v>192</v>
      </c>
      <c r="P91" t="s">
        <v>203</v>
      </c>
      <c r="R91" s="17"/>
    </row>
    <row r="92" spans="1:19">
      <c r="A92" t="s">
        <v>415</v>
      </c>
      <c r="B92" s="2">
        <v>44882</v>
      </c>
      <c r="C92" t="s">
        <v>201</v>
      </c>
      <c r="D92" t="s">
        <v>192</v>
      </c>
      <c r="E92" t="s">
        <v>192</v>
      </c>
      <c r="F92" t="s">
        <v>192</v>
      </c>
      <c r="G92" t="s">
        <v>192</v>
      </c>
      <c r="H92" t="s">
        <v>202</v>
      </c>
      <c r="I92" t="s">
        <v>202</v>
      </c>
      <c r="J92" t="s">
        <v>202</v>
      </c>
      <c r="K92" t="s">
        <v>202</v>
      </c>
      <c r="L92" t="s">
        <v>202</v>
      </c>
      <c r="M92" t="s">
        <v>202</v>
      </c>
      <c r="N92" t="s">
        <v>202</v>
      </c>
      <c r="O92" t="s">
        <v>192</v>
      </c>
      <c r="P92" t="s">
        <v>336</v>
      </c>
      <c r="R92" s="17"/>
    </row>
    <row r="93" spans="1:19">
      <c r="A93" t="s">
        <v>361</v>
      </c>
      <c r="B93" s="2">
        <v>44886</v>
      </c>
      <c r="C93" t="s">
        <v>201</v>
      </c>
      <c r="D93" t="s">
        <v>202</v>
      </c>
      <c r="E93" t="s">
        <v>192</v>
      </c>
      <c r="F93" t="s">
        <v>192</v>
      </c>
      <c r="G93" t="s">
        <v>192</v>
      </c>
      <c r="H93" t="s">
        <v>202</v>
      </c>
      <c r="I93" t="s">
        <v>192</v>
      </c>
      <c r="J93" t="s">
        <v>202</v>
      </c>
      <c r="K93" t="s">
        <v>202</v>
      </c>
      <c r="L93" t="s">
        <v>202</v>
      </c>
      <c r="M93" t="s">
        <v>192</v>
      </c>
      <c r="N93" t="s">
        <v>202</v>
      </c>
      <c r="O93" t="s">
        <v>192</v>
      </c>
      <c r="P93" t="s">
        <v>203</v>
      </c>
      <c r="R93" s="17"/>
    </row>
    <row r="94" spans="1:19">
      <c r="A94" t="s">
        <v>323</v>
      </c>
      <c r="B94" s="2">
        <v>44887</v>
      </c>
      <c r="C94" t="s">
        <v>218</v>
      </c>
      <c r="D94" t="s">
        <v>202</v>
      </c>
      <c r="E94" t="s">
        <v>202</v>
      </c>
      <c r="F94" t="s">
        <v>192</v>
      </c>
      <c r="G94" t="s">
        <v>202</v>
      </c>
      <c r="H94" t="s">
        <v>202</v>
      </c>
      <c r="I94" t="s">
        <v>192</v>
      </c>
      <c r="J94" t="s">
        <v>202</v>
      </c>
      <c r="N94" t="s">
        <v>202</v>
      </c>
      <c r="O94" t="s">
        <v>202</v>
      </c>
      <c r="P94" t="s">
        <v>203</v>
      </c>
      <c r="R94" s="17"/>
      <c r="S94" t="s">
        <v>409</v>
      </c>
    </row>
    <row r="95" spans="1:19">
      <c r="A95" t="s">
        <v>258</v>
      </c>
      <c r="B95" s="2">
        <v>44907</v>
      </c>
      <c r="C95" t="s">
        <v>218</v>
      </c>
      <c r="D95" t="s">
        <v>202</v>
      </c>
      <c r="E95" t="s">
        <v>202</v>
      </c>
      <c r="F95" t="s">
        <v>202</v>
      </c>
      <c r="G95" t="s">
        <v>202</v>
      </c>
      <c r="H95" t="s">
        <v>202</v>
      </c>
      <c r="I95" t="s">
        <v>202</v>
      </c>
      <c r="J95" t="s">
        <v>202</v>
      </c>
      <c r="K95" t="s">
        <v>202</v>
      </c>
      <c r="L95" t="s">
        <v>192</v>
      </c>
      <c r="M95" t="s">
        <v>192</v>
      </c>
      <c r="N95" t="s">
        <v>192</v>
      </c>
      <c r="O95" t="s">
        <v>192</v>
      </c>
      <c r="P95" t="s">
        <v>203</v>
      </c>
      <c r="R95" s="17"/>
    </row>
    <row r="96" spans="1:19">
      <c r="A96" t="s">
        <v>422</v>
      </c>
      <c r="B96" s="2">
        <v>44942</v>
      </c>
      <c r="C96" t="s">
        <v>201</v>
      </c>
      <c r="D96" t="s">
        <v>202</v>
      </c>
      <c r="E96" t="s">
        <v>192</v>
      </c>
      <c r="F96" t="s">
        <v>192</v>
      </c>
      <c r="G96" t="s">
        <v>202</v>
      </c>
      <c r="H96" t="s">
        <v>192</v>
      </c>
      <c r="I96" t="s">
        <v>202</v>
      </c>
      <c r="J96" t="s">
        <v>202</v>
      </c>
      <c r="K96" t="s">
        <v>202</v>
      </c>
      <c r="L96" t="s">
        <v>192</v>
      </c>
      <c r="M96" t="s">
        <v>202</v>
      </c>
      <c r="N96" t="s">
        <v>202</v>
      </c>
      <c r="O96" t="s">
        <v>192</v>
      </c>
      <c r="P96" t="s">
        <v>336</v>
      </c>
      <c r="R96" s="17"/>
    </row>
    <row r="97" spans="1:18">
      <c r="A97" s="2" t="s">
        <v>423</v>
      </c>
      <c r="B97" s="2">
        <v>44944</v>
      </c>
      <c r="C97" t="s">
        <v>201</v>
      </c>
      <c r="D97" t="s">
        <v>192</v>
      </c>
      <c r="E97" t="s">
        <v>192</v>
      </c>
      <c r="F97" t="s">
        <v>192</v>
      </c>
      <c r="G97" t="s">
        <v>202</v>
      </c>
      <c r="H97" t="s">
        <v>202</v>
      </c>
      <c r="I97" t="s">
        <v>202</v>
      </c>
      <c r="J97" t="s">
        <v>202</v>
      </c>
      <c r="K97" t="s">
        <v>202</v>
      </c>
      <c r="L97" t="s">
        <v>202</v>
      </c>
      <c r="M97" t="s">
        <v>202</v>
      </c>
      <c r="N97" t="s">
        <v>202</v>
      </c>
      <c r="O97" t="s">
        <v>192</v>
      </c>
      <c r="P97" t="s">
        <v>336</v>
      </c>
      <c r="R97" s="17"/>
    </row>
    <row r="98" spans="1:18">
      <c r="A98" t="s">
        <v>330</v>
      </c>
      <c r="B98" s="2">
        <v>44945</v>
      </c>
      <c r="C98" t="s">
        <v>218</v>
      </c>
      <c r="D98" t="s">
        <v>202</v>
      </c>
      <c r="E98" t="s">
        <v>202</v>
      </c>
      <c r="F98" t="s">
        <v>192</v>
      </c>
      <c r="G98" t="s">
        <v>202</v>
      </c>
      <c r="H98" t="s">
        <v>202</v>
      </c>
      <c r="I98" t="s">
        <v>202</v>
      </c>
      <c r="J98" t="s">
        <v>202</v>
      </c>
      <c r="K98" t="s">
        <v>202</v>
      </c>
      <c r="L98" t="s">
        <v>202</v>
      </c>
      <c r="M98" t="s">
        <v>202</v>
      </c>
      <c r="N98" t="s">
        <v>202</v>
      </c>
      <c r="O98" t="s">
        <v>192</v>
      </c>
      <c r="P98" t="s">
        <v>203</v>
      </c>
      <c r="R98" s="17"/>
    </row>
    <row r="99" spans="1:18">
      <c r="A99" t="s">
        <v>424</v>
      </c>
      <c r="B99" s="2">
        <v>44949</v>
      </c>
      <c r="C99" t="s">
        <v>201</v>
      </c>
      <c r="D99" t="s">
        <v>192</v>
      </c>
      <c r="E99" t="s">
        <v>192</v>
      </c>
      <c r="F99" t="s">
        <v>192</v>
      </c>
      <c r="G99" t="s">
        <v>202</v>
      </c>
      <c r="H99" t="s">
        <v>202</v>
      </c>
      <c r="I99" t="s">
        <v>192</v>
      </c>
      <c r="J99" t="s">
        <v>202</v>
      </c>
      <c r="K99" t="s">
        <v>202</v>
      </c>
      <c r="L99" t="s">
        <v>202</v>
      </c>
      <c r="M99" t="s">
        <v>192</v>
      </c>
      <c r="N99" t="s">
        <v>202</v>
      </c>
      <c r="O99" t="s">
        <v>192</v>
      </c>
      <c r="P99" t="s">
        <v>336</v>
      </c>
      <c r="R99" s="17"/>
    </row>
    <row r="100" spans="1:18">
      <c r="A100" t="s">
        <v>367</v>
      </c>
      <c r="B100" s="2">
        <v>44950</v>
      </c>
      <c r="C100" t="s">
        <v>201</v>
      </c>
      <c r="D100" t="s">
        <v>192</v>
      </c>
      <c r="E100" t="s">
        <v>192</v>
      </c>
      <c r="F100" t="s">
        <v>202</v>
      </c>
      <c r="G100" t="s">
        <v>202</v>
      </c>
      <c r="H100" t="s">
        <v>202</v>
      </c>
      <c r="I100" t="s">
        <v>192</v>
      </c>
      <c r="J100" t="s">
        <v>202</v>
      </c>
      <c r="K100" t="s">
        <v>202</v>
      </c>
      <c r="L100" t="s">
        <v>202</v>
      </c>
      <c r="M100" t="s">
        <v>192</v>
      </c>
      <c r="N100" t="s">
        <v>202</v>
      </c>
      <c r="O100" t="s">
        <v>192</v>
      </c>
      <c r="P100" t="s">
        <v>203</v>
      </c>
      <c r="R100" s="17"/>
    </row>
    <row r="101" spans="1:18">
      <c r="A101" t="s">
        <v>426</v>
      </c>
      <c r="B101" s="2">
        <v>44956</v>
      </c>
      <c r="C101" t="s">
        <v>218</v>
      </c>
      <c r="D101" t="s">
        <v>202</v>
      </c>
      <c r="E101" t="s">
        <v>202</v>
      </c>
      <c r="F101" t="s">
        <v>202</v>
      </c>
      <c r="G101" t="s">
        <v>202</v>
      </c>
      <c r="H101" t="s">
        <v>202</v>
      </c>
      <c r="I101" t="s">
        <v>192</v>
      </c>
      <c r="J101" t="s">
        <v>202</v>
      </c>
      <c r="K101" t="s">
        <v>202</v>
      </c>
      <c r="L101" t="s">
        <v>202</v>
      </c>
      <c r="M101" t="s">
        <v>192</v>
      </c>
      <c r="N101" t="s">
        <v>202</v>
      </c>
      <c r="O101" t="s">
        <v>192</v>
      </c>
      <c r="P101" t="s">
        <v>203</v>
      </c>
      <c r="R101" s="17"/>
    </row>
    <row r="102" spans="1:18">
      <c r="A102" t="s">
        <v>332</v>
      </c>
      <c r="B102" s="2">
        <v>44957</v>
      </c>
      <c r="C102" t="s">
        <v>218</v>
      </c>
      <c r="D102" t="s">
        <v>202</v>
      </c>
      <c r="E102" t="s">
        <v>202</v>
      </c>
      <c r="F102" t="s">
        <v>192</v>
      </c>
      <c r="G102" t="s">
        <v>202</v>
      </c>
      <c r="H102" t="s">
        <v>202</v>
      </c>
      <c r="I102" t="s">
        <v>192</v>
      </c>
      <c r="J102" t="s">
        <v>202</v>
      </c>
      <c r="K102" t="s">
        <v>202</v>
      </c>
      <c r="L102" t="s">
        <v>202</v>
      </c>
      <c r="M102" t="s">
        <v>192</v>
      </c>
      <c r="N102" t="s">
        <v>202</v>
      </c>
      <c r="O102" t="s">
        <v>192</v>
      </c>
      <c r="P102" t="s">
        <v>336</v>
      </c>
      <c r="R102" s="17"/>
    </row>
    <row r="103" spans="1:18">
      <c r="A103" t="s">
        <v>408</v>
      </c>
      <c r="B103" s="2">
        <v>44963</v>
      </c>
      <c r="C103" t="s">
        <v>201</v>
      </c>
      <c r="D103" t="s">
        <v>192</v>
      </c>
      <c r="E103" t="s">
        <v>192</v>
      </c>
      <c r="F103" t="s">
        <v>202</v>
      </c>
      <c r="G103" t="s">
        <v>192</v>
      </c>
      <c r="H103" t="s">
        <v>192</v>
      </c>
      <c r="I103" t="s">
        <v>202</v>
      </c>
      <c r="J103" t="s">
        <v>202</v>
      </c>
      <c r="K103" t="s">
        <v>202</v>
      </c>
      <c r="L103" t="s">
        <v>202</v>
      </c>
      <c r="M103" t="s">
        <v>202</v>
      </c>
      <c r="N103" t="s">
        <v>202</v>
      </c>
      <c r="O103" t="s">
        <v>192</v>
      </c>
      <c r="P103" t="s">
        <v>203</v>
      </c>
      <c r="R103" s="17"/>
    </row>
    <row r="104" spans="1:18">
      <c r="A104" t="s">
        <v>427</v>
      </c>
      <c r="B104" s="2">
        <v>44965</v>
      </c>
      <c r="C104" t="s">
        <v>218</v>
      </c>
      <c r="D104" t="s">
        <v>202</v>
      </c>
      <c r="E104" t="s">
        <v>202</v>
      </c>
      <c r="F104" t="s">
        <v>202</v>
      </c>
      <c r="G104" t="s">
        <v>202</v>
      </c>
      <c r="H104" t="s">
        <v>202</v>
      </c>
      <c r="I104" t="s">
        <v>202</v>
      </c>
      <c r="J104" t="s">
        <v>202</v>
      </c>
      <c r="K104" t="s">
        <v>202</v>
      </c>
      <c r="L104" t="s">
        <v>202</v>
      </c>
      <c r="M104" t="s">
        <v>202</v>
      </c>
      <c r="N104" t="s">
        <v>202</v>
      </c>
      <c r="O104" t="s">
        <v>192</v>
      </c>
      <c r="P104" t="s">
        <v>203</v>
      </c>
      <c r="R104" s="17"/>
    </row>
    <row r="105" spans="1:18">
      <c r="A105" t="s">
        <v>425</v>
      </c>
      <c r="B105" s="2">
        <v>44966</v>
      </c>
      <c r="C105" t="s">
        <v>201</v>
      </c>
      <c r="D105" t="s">
        <v>192</v>
      </c>
      <c r="E105" t="s">
        <v>192</v>
      </c>
      <c r="F105" t="s">
        <v>192</v>
      </c>
      <c r="G105" t="s">
        <v>192</v>
      </c>
      <c r="H105" t="s">
        <v>202</v>
      </c>
      <c r="I105" t="s">
        <v>192</v>
      </c>
      <c r="J105" t="s">
        <v>202</v>
      </c>
      <c r="K105" t="s">
        <v>202</v>
      </c>
      <c r="L105" t="s">
        <v>202</v>
      </c>
      <c r="M105" t="s">
        <v>192</v>
      </c>
      <c r="N105" t="s">
        <v>202</v>
      </c>
      <c r="O105" t="s">
        <v>192</v>
      </c>
      <c r="P105" t="s">
        <v>203</v>
      </c>
      <c r="R105" s="17"/>
    </row>
    <row r="106" spans="1:18">
      <c r="A106" t="s">
        <v>351</v>
      </c>
      <c r="B106" s="2">
        <v>44970</v>
      </c>
      <c r="C106" t="s">
        <v>218</v>
      </c>
      <c r="D106" t="s">
        <v>202</v>
      </c>
      <c r="E106" t="s">
        <v>202</v>
      </c>
      <c r="F106" t="s">
        <v>202</v>
      </c>
      <c r="G106" t="s">
        <v>202</v>
      </c>
      <c r="H106" t="s">
        <v>202</v>
      </c>
      <c r="I106" t="s">
        <v>202</v>
      </c>
      <c r="J106" t="s">
        <v>202</v>
      </c>
      <c r="K106" t="s">
        <v>202</v>
      </c>
      <c r="L106" t="s">
        <v>202</v>
      </c>
      <c r="M106" t="s">
        <v>202</v>
      </c>
      <c r="N106" t="s">
        <v>202</v>
      </c>
      <c r="O106" t="s">
        <v>192</v>
      </c>
      <c r="P106" t="s">
        <v>336</v>
      </c>
      <c r="R106" s="17"/>
    </row>
    <row r="107" spans="1:18">
      <c r="A107" t="s">
        <v>423</v>
      </c>
      <c r="B107" s="2">
        <v>44984</v>
      </c>
      <c r="C107" t="s">
        <v>201</v>
      </c>
      <c r="D107" t="s">
        <v>192</v>
      </c>
      <c r="E107" t="s">
        <v>192</v>
      </c>
      <c r="F107" t="s">
        <v>202</v>
      </c>
      <c r="G107" t="s">
        <v>192</v>
      </c>
      <c r="H107" t="s">
        <v>202</v>
      </c>
      <c r="I107" t="s">
        <v>202</v>
      </c>
      <c r="J107" t="s">
        <v>202</v>
      </c>
      <c r="K107" t="s">
        <v>202</v>
      </c>
      <c r="L107" t="s">
        <v>202</v>
      </c>
      <c r="M107" t="s">
        <v>202</v>
      </c>
      <c r="N107" t="s">
        <v>202</v>
      </c>
      <c r="O107" t="s">
        <v>192</v>
      </c>
      <c r="P107" t="s">
        <v>203</v>
      </c>
      <c r="R107" s="17"/>
    </row>
    <row r="108" spans="1:18">
      <c r="A108" t="s">
        <v>311</v>
      </c>
      <c r="B108" s="2">
        <v>44986</v>
      </c>
      <c r="C108" t="s">
        <v>201</v>
      </c>
      <c r="D108" t="s">
        <v>192</v>
      </c>
      <c r="E108" t="s">
        <v>192</v>
      </c>
      <c r="F108" t="s">
        <v>202</v>
      </c>
      <c r="G108" t="s">
        <v>192</v>
      </c>
      <c r="H108" t="s">
        <v>202</v>
      </c>
      <c r="I108" t="s">
        <v>192</v>
      </c>
      <c r="J108" t="s">
        <v>202</v>
      </c>
      <c r="K108" t="s">
        <v>202</v>
      </c>
      <c r="L108" t="s">
        <v>202</v>
      </c>
      <c r="M108" t="s">
        <v>192</v>
      </c>
      <c r="N108" t="s">
        <v>202</v>
      </c>
      <c r="O108" t="s">
        <v>192</v>
      </c>
      <c r="P108" t="s">
        <v>203</v>
      </c>
      <c r="R108" s="17"/>
    </row>
    <row r="109" spans="1:18">
      <c r="A109" t="s">
        <v>356</v>
      </c>
      <c r="B109" s="2">
        <v>44991</v>
      </c>
      <c r="C109" t="s">
        <v>218</v>
      </c>
      <c r="D109" t="s">
        <v>202</v>
      </c>
      <c r="E109" t="s">
        <v>202</v>
      </c>
      <c r="F109" t="s">
        <v>202</v>
      </c>
      <c r="G109" t="s">
        <v>192</v>
      </c>
      <c r="H109" t="s">
        <v>202</v>
      </c>
      <c r="I109" t="s">
        <v>192</v>
      </c>
      <c r="J109" t="s">
        <v>202</v>
      </c>
      <c r="K109" t="s">
        <v>202</v>
      </c>
      <c r="L109" t="s">
        <v>202</v>
      </c>
      <c r="M109" t="s">
        <v>192</v>
      </c>
      <c r="N109" t="s">
        <v>202</v>
      </c>
      <c r="O109" t="s">
        <v>192</v>
      </c>
      <c r="P109" t="s">
        <v>203</v>
      </c>
      <c r="R109" s="17"/>
    </row>
    <row r="110" spans="1:18">
      <c r="A110" t="s">
        <v>438</v>
      </c>
      <c r="B110" s="2">
        <v>44992</v>
      </c>
      <c r="C110" t="s">
        <v>218</v>
      </c>
      <c r="D110" t="s">
        <v>202</v>
      </c>
      <c r="E110" t="s">
        <v>202</v>
      </c>
      <c r="F110" t="s">
        <v>192</v>
      </c>
      <c r="G110" t="s">
        <v>202</v>
      </c>
      <c r="H110" t="s">
        <v>202</v>
      </c>
      <c r="I110" t="s">
        <v>202</v>
      </c>
      <c r="J110" t="s">
        <v>202</v>
      </c>
      <c r="K110" t="s">
        <v>202</v>
      </c>
      <c r="L110" t="s">
        <v>202</v>
      </c>
      <c r="M110" t="s">
        <v>202</v>
      </c>
      <c r="N110" t="s">
        <v>202</v>
      </c>
      <c r="O110" t="s">
        <v>192</v>
      </c>
      <c r="P110" t="s">
        <v>336</v>
      </c>
      <c r="R110" s="17"/>
    </row>
    <row r="111" spans="1:18">
      <c r="A111" t="s">
        <v>388</v>
      </c>
      <c r="B111" s="2">
        <v>44998</v>
      </c>
      <c r="C111" t="s">
        <v>201</v>
      </c>
      <c r="D111" t="s">
        <v>202</v>
      </c>
      <c r="E111" t="s">
        <v>202</v>
      </c>
      <c r="F111" t="s">
        <v>202</v>
      </c>
      <c r="G111" t="s">
        <v>192</v>
      </c>
      <c r="H111" t="s">
        <v>202</v>
      </c>
      <c r="I111" t="s">
        <v>192</v>
      </c>
      <c r="J111" t="s">
        <v>202</v>
      </c>
      <c r="K111" t="s">
        <v>202</v>
      </c>
      <c r="L111" t="s">
        <v>202</v>
      </c>
      <c r="M111" t="s">
        <v>192</v>
      </c>
      <c r="N111" t="s">
        <v>202</v>
      </c>
      <c r="O111" t="s">
        <v>192</v>
      </c>
      <c r="P111" t="s">
        <v>203</v>
      </c>
      <c r="R111" s="17"/>
    </row>
    <row r="112" spans="1:18">
      <c r="A112" t="s">
        <v>334</v>
      </c>
      <c r="B112" s="2">
        <v>45012</v>
      </c>
      <c r="C112" t="s">
        <v>218</v>
      </c>
      <c r="D112" t="s">
        <v>202</v>
      </c>
      <c r="E112" t="s">
        <v>202</v>
      </c>
      <c r="F112" t="s">
        <v>202</v>
      </c>
      <c r="G112" t="s">
        <v>202</v>
      </c>
      <c r="H112" t="s">
        <v>202</v>
      </c>
      <c r="I112" t="s">
        <v>202</v>
      </c>
      <c r="J112" t="s">
        <v>202</v>
      </c>
      <c r="K112" t="s">
        <v>202</v>
      </c>
      <c r="L112" t="s">
        <v>192</v>
      </c>
      <c r="M112" t="s">
        <v>202</v>
      </c>
      <c r="N112" t="s">
        <v>202</v>
      </c>
      <c r="O112" t="s">
        <v>192</v>
      </c>
      <c r="P112" t="s">
        <v>336</v>
      </c>
      <c r="R112" s="17"/>
    </row>
    <row r="113" spans="1:18">
      <c r="A113" t="s">
        <v>440</v>
      </c>
      <c r="B113" s="2">
        <v>45041</v>
      </c>
      <c r="C113" t="s">
        <v>218</v>
      </c>
      <c r="D113" t="s">
        <v>202</v>
      </c>
      <c r="E113" t="s">
        <v>202</v>
      </c>
      <c r="F113" t="s">
        <v>202</v>
      </c>
      <c r="G113" t="s">
        <v>202</v>
      </c>
      <c r="H113" t="s">
        <v>202</v>
      </c>
      <c r="I113" t="s">
        <v>192</v>
      </c>
      <c r="J113" t="s">
        <v>202</v>
      </c>
      <c r="K113" t="s">
        <v>202</v>
      </c>
      <c r="L113" t="s">
        <v>202</v>
      </c>
      <c r="M113" t="s">
        <v>192</v>
      </c>
      <c r="N113" t="s">
        <v>202</v>
      </c>
      <c r="O113" t="s">
        <v>192</v>
      </c>
      <c r="P113" t="s">
        <v>203</v>
      </c>
      <c r="R113" s="17"/>
    </row>
    <row r="114" spans="1:18">
      <c r="A114" t="s">
        <v>441</v>
      </c>
      <c r="B114" s="2">
        <v>45048</v>
      </c>
      <c r="C114" t="s">
        <v>218</v>
      </c>
      <c r="D114" t="s">
        <v>202</v>
      </c>
      <c r="E114" t="s">
        <v>202</v>
      </c>
      <c r="F114" t="s">
        <v>192</v>
      </c>
      <c r="G114" t="s">
        <v>192</v>
      </c>
      <c r="H114" t="s">
        <v>202</v>
      </c>
      <c r="I114" t="s">
        <v>202</v>
      </c>
      <c r="J114" t="s">
        <v>202</v>
      </c>
      <c r="K114" t="s">
        <v>202</v>
      </c>
      <c r="L114" t="s">
        <v>202</v>
      </c>
      <c r="M114" t="s">
        <v>202</v>
      </c>
      <c r="N114" t="s">
        <v>202</v>
      </c>
      <c r="O114" t="s">
        <v>192</v>
      </c>
      <c r="P114" t="s">
        <v>336</v>
      </c>
      <c r="R114" s="17"/>
    </row>
    <row r="115" spans="1:18">
      <c r="A115" t="s">
        <v>215</v>
      </c>
      <c r="B115" s="2">
        <v>45050</v>
      </c>
      <c r="C115" t="s">
        <v>201</v>
      </c>
      <c r="D115" t="s">
        <v>202</v>
      </c>
      <c r="E115" t="s">
        <v>192</v>
      </c>
      <c r="F115" t="s">
        <v>192</v>
      </c>
      <c r="G115" t="s">
        <v>202</v>
      </c>
      <c r="H115" t="s">
        <v>202</v>
      </c>
      <c r="I115" t="s">
        <v>202</v>
      </c>
      <c r="J115" t="s">
        <v>202</v>
      </c>
      <c r="K115" t="s">
        <v>202</v>
      </c>
      <c r="L115" t="s">
        <v>202</v>
      </c>
      <c r="M115" t="s">
        <v>202</v>
      </c>
      <c r="N115" t="s">
        <v>202</v>
      </c>
      <c r="O115" t="s">
        <v>192</v>
      </c>
      <c r="P115" t="s">
        <v>203</v>
      </c>
      <c r="R115" s="17"/>
    </row>
    <row r="116" spans="1:18">
      <c r="A116" t="s">
        <v>221</v>
      </c>
      <c r="B116" s="2">
        <v>45055</v>
      </c>
      <c r="C116" t="s">
        <v>218</v>
      </c>
      <c r="D116" t="s">
        <v>202</v>
      </c>
      <c r="E116" t="s">
        <v>202</v>
      </c>
      <c r="F116" t="s">
        <v>192</v>
      </c>
      <c r="G116" t="s">
        <v>192</v>
      </c>
      <c r="H116" t="s">
        <v>202</v>
      </c>
      <c r="I116" t="s">
        <v>192</v>
      </c>
      <c r="J116" t="s">
        <v>202</v>
      </c>
      <c r="K116" t="s">
        <v>202</v>
      </c>
      <c r="L116" t="s">
        <v>202</v>
      </c>
      <c r="M116" t="s">
        <v>192</v>
      </c>
      <c r="N116" t="s">
        <v>202</v>
      </c>
      <c r="O116" t="s">
        <v>192</v>
      </c>
      <c r="P116" t="s">
        <v>336</v>
      </c>
      <c r="R116" s="17"/>
    </row>
    <row r="117" spans="1:18">
      <c r="A117" t="s">
        <v>442</v>
      </c>
      <c r="B117" s="2">
        <v>45055</v>
      </c>
      <c r="C117" t="s">
        <v>201</v>
      </c>
      <c r="D117" t="s">
        <v>192</v>
      </c>
      <c r="E117" t="s">
        <v>192</v>
      </c>
      <c r="F117" t="s">
        <v>202</v>
      </c>
      <c r="G117" t="s">
        <v>192</v>
      </c>
      <c r="H117" t="s">
        <v>202</v>
      </c>
      <c r="I117" t="s">
        <v>202</v>
      </c>
      <c r="J117" t="s">
        <v>202</v>
      </c>
      <c r="K117" t="s">
        <v>202</v>
      </c>
      <c r="L117" t="s">
        <v>202</v>
      </c>
      <c r="M117" t="s">
        <v>202</v>
      </c>
      <c r="N117" t="s">
        <v>202</v>
      </c>
      <c r="O117" t="s">
        <v>192</v>
      </c>
      <c r="P117" t="s">
        <v>336</v>
      </c>
      <c r="R117" s="17"/>
    </row>
    <row r="118" spans="1:18">
      <c r="A118" t="s">
        <v>439</v>
      </c>
      <c r="B118" s="2">
        <v>45062</v>
      </c>
      <c r="C118" t="s">
        <v>218</v>
      </c>
      <c r="D118" t="s">
        <v>202</v>
      </c>
      <c r="E118" t="s">
        <v>202</v>
      </c>
      <c r="F118" t="s">
        <v>192</v>
      </c>
      <c r="G118" t="s">
        <v>192</v>
      </c>
      <c r="H118" t="s">
        <v>202</v>
      </c>
      <c r="I118" t="s">
        <v>202</v>
      </c>
      <c r="J118" t="s">
        <v>202</v>
      </c>
      <c r="K118" t="s">
        <v>202</v>
      </c>
      <c r="L118" t="s">
        <v>202</v>
      </c>
      <c r="M118" t="s">
        <v>202</v>
      </c>
      <c r="N118" t="s">
        <v>202</v>
      </c>
      <c r="O118" t="s">
        <v>192</v>
      </c>
      <c r="P118" t="s">
        <v>336</v>
      </c>
      <c r="R118" s="17"/>
    </row>
    <row r="119" spans="1:18">
      <c r="A119" t="s">
        <v>361</v>
      </c>
      <c r="B119" s="2">
        <v>45063</v>
      </c>
      <c r="C119" t="s">
        <v>218</v>
      </c>
      <c r="D119" t="s">
        <v>202</v>
      </c>
      <c r="E119" t="s">
        <v>202</v>
      </c>
      <c r="F119" t="s">
        <v>192</v>
      </c>
      <c r="G119" t="s">
        <v>202</v>
      </c>
      <c r="H119" t="s">
        <v>202</v>
      </c>
      <c r="I119" t="s">
        <v>192</v>
      </c>
      <c r="J119" t="s">
        <v>202</v>
      </c>
      <c r="K119" t="s">
        <v>202</v>
      </c>
      <c r="L119" t="s">
        <v>202</v>
      </c>
      <c r="M119" t="s">
        <v>192</v>
      </c>
      <c r="N119" t="s">
        <v>202</v>
      </c>
      <c r="O119" t="s">
        <v>192</v>
      </c>
      <c r="P119" t="s">
        <v>203</v>
      </c>
      <c r="R119" s="17"/>
    </row>
    <row r="120" spans="1:18">
      <c r="A120" t="s">
        <v>261</v>
      </c>
      <c r="B120" s="2">
        <v>45064</v>
      </c>
      <c r="C120" t="s">
        <v>218</v>
      </c>
      <c r="D120" t="s">
        <v>202</v>
      </c>
      <c r="E120" t="s">
        <v>202</v>
      </c>
      <c r="F120" t="s">
        <v>192</v>
      </c>
      <c r="G120" t="s">
        <v>202</v>
      </c>
      <c r="H120" t="s">
        <v>202</v>
      </c>
      <c r="I120" t="s">
        <v>202</v>
      </c>
      <c r="J120" t="s">
        <v>202</v>
      </c>
      <c r="K120" t="s">
        <v>202</v>
      </c>
      <c r="L120" t="s">
        <v>202</v>
      </c>
      <c r="M120" t="s">
        <v>202</v>
      </c>
      <c r="N120" t="s">
        <v>202</v>
      </c>
      <c r="O120" t="s">
        <v>192</v>
      </c>
      <c r="P120" t="s">
        <v>336</v>
      </c>
      <c r="R120" s="17"/>
    </row>
    <row r="121" spans="1:18">
      <c r="A121" t="s">
        <v>365</v>
      </c>
      <c r="B121" s="2">
        <v>45069</v>
      </c>
      <c r="C121" t="s">
        <v>218</v>
      </c>
      <c r="D121" t="s">
        <v>202</v>
      </c>
      <c r="E121" t="s">
        <v>202</v>
      </c>
      <c r="F121" t="s">
        <v>192</v>
      </c>
      <c r="G121" t="s">
        <v>202</v>
      </c>
      <c r="H121" t="s">
        <v>192</v>
      </c>
      <c r="I121" t="s">
        <v>202</v>
      </c>
      <c r="J121" t="s">
        <v>202</v>
      </c>
      <c r="K121" t="s">
        <v>202</v>
      </c>
      <c r="L121" t="s">
        <v>202</v>
      </c>
      <c r="M121" t="s">
        <v>202</v>
      </c>
      <c r="N121" t="s">
        <v>202</v>
      </c>
      <c r="O121" t="s">
        <v>192</v>
      </c>
      <c r="P121" t="s">
        <v>336</v>
      </c>
      <c r="R121" s="17"/>
    </row>
    <row r="122" spans="1:18">
      <c r="A122" t="s">
        <v>443</v>
      </c>
      <c r="B122" s="2">
        <v>45071</v>
      </c>
      <c r="C122" t="s">
        <v>218</v>
      </c>
      <c r="D122" t="s">
        <v>202</v>
      </c>
      <c r="E122" t="s">
        <v>202</v>
      </c>
      <c r="F122" t="s">
        <v>202</v>
      </c>
      <c r="G122" t="s">
        <v>202</v>
      </c>
      <c r="H122" t="s">
        <v>192</v>
      </c>
      <c r="I122" t="s">
        <v>202</v>
      </c>
      <c r="J122" t="s">
        <v>202</v>
      </c>
      <c r="K122" t="s">
        <v>202</v>
      </c>
      <c r="L122" t="s">
        <v>202</v>
      </c>
      <c r="M122" t="s">
        <v>202</v>
      </c>
      <c r="N122" t="s">
        <v>202</v>
      </c>
      <c r="O122" t="s">
        <v>192</v>
      </c>
      <c r="P122" t="s">
        <v>336</v>
      </c>
      <c r="R122" s="17"/>
    </row>
    <row r="123" spans="1:18">
      <c r="A123" t="s">
        <v>423</v>
      </c>
      <c r="B123" s="2">
        <v>45075</v>
      </c>
      <c r="C123" t="s">
        <v>201</v>
      </c>
      <c r="D123" t="s">
        <v>192</v>
      </c>
      <c r="E123" t="s">
        <v>202</v>
      </c>
      <c r="F123" t="s">
        <v>192</v>
      </c>
      <c r="G123" t="s">
        <v>202</v>
      </c>
      <c r="H123" t="s">
        <v>202</v>
      </c>
      <c r="I123" t="s">
        <v>202</v>
      </c>
      <c r="J123" t="s">
        <v>202</v>
      </c>
      <c r="K123" t="s">
        <v>202</v>
      </c>
      <c r="L123" t="s">
        <v>202</v>
      </c>
      <c r="M123" t="s">
        <v>202</v>
      </c>
      <c r="N123" t="s">
        <v>202</v>
      </c>
      <c r="O123" t="s">
        <v>192</v>
      </c>
      <c r="P123" t="s">
        <v>203</v>
      </c>
      <c r="R123" s="17"/>
    </row>
    <row r="124" spans="1:18">
      <c r="A124" t="s">
        <v>333</v>
      </c>
      <c r="B124" s="2">
        <v>45076</v>
      </c>
      <c r="C124" t="s">
        <v>218</v>
      </c>
      <c r="D124" t="s">
        <v>202</v>
      </c>
      <c r="E124" t="s">
        <v>202</v>
      </c>
      <c r="F124" t="s">
        <v>192</v>
      </c>
      <c r="G124" t="s">
        <v>202</v>
      </c>
      <c r="H124" t="s">
        <v>192</v>
      </c>
      <c r="I124" t="s">
        <v>202</v>
      </c>
      <c r="J124" t="s">
        <v>202</v>
      </c>
      <c r="K124" t="s">
        <v>202</v>
      </c>
      <c r="L124" t="s">
        <v>202</v>
      </c>
      <c r="M124" t="s">
        <v>202</v>
      </c>
      <c r="N124" t="s">
        <v>202</v>
      </c>
      <c r="O124" t="s">
        <v>192</v>
      </c>
      <c r="P124" t="s">
        <v>336</v>
      </c>
      <c r="R124" s="17"/>
    </row>
    <row r="125" spans="1:18">
      <c r="A125" t="s">
        <v>444</v>
      </c>
      <c r="B125" s="2">
        <v>45083</v>
      </c>
      <c r="C125" t="s">
        <v>218</v>
      </c>
      <c r="D125" t="s">
        <v>202</v>
      </c>
      <c r="E125" t="s">
        <v>202</v>
      </c>
      <c r="F125" t="s">
        <v>192</v>
      </c>
      <c r="G125" t="s">
        <v>202</v>
      </c>
      <c r="H125" t="s">
        <v>192</v>
      </c>
      <c r="I125" t="s">
        <v>202</v>
      </c>
      <c r="J125" t="s">
        <v>202</v>
      </c>
      <c r="K125" t="s">
        <v>202</v>
      </c>
      <c r="L125" t="s">
        <v>202</v>
      </c>
      <c r="M125" t="s">
        <v>202</v>
      </c>
      <c r="N125" t="s">
        <v>202</v>
      </c>
      <c r="O125" t="s">
        <v>192</v>
      </c>
      <c r="P125" t="s">
        <v>336</v>
      </c>
      <c r="R125" s="17"/>
    </row>
    <row r="126" spans="1:18">
      <c r="A126" t="s">
        <v>445</v>
      </c>
      <c r="B126" s="2">
        <v>45084</v>
      </c>
      <c r="C126" t="s">
        <v>218</v>
      </c>
      <c r="D126" t="s">
        <v>202</v>
      </c>
      <c r="E126" t="s">
        <v>202</v>
      </c>
      <c r="F126" t="s">
        <v>192</v>
      </c>
      <c r="G126" t="s">
        <v>202</v>
      </c>
      <c r="H126" t="s">
        <v>192</v>
      </c>
      <c r="I126" t="s">
        <v>202</v>
      </c>
      <c r="J126" t="s">
        <v>202</v>
      </c>
      <c r="K126" t="s">
        <v>202</v>
      </c>
      <c r="L126" t="s">
        <v>202</v>
      </c>
      <c r="M126" t="s">
        <v>202</v>
      </c>
      <c r="N126" t="s">
        <v>202</v>
      </c>
      <c r="O126" t="s">
        <v>192</v>
      </c>
      <c r="P126" t="s">
        <v>336</v>
      </c>
      <c r="R126" s="17"/>
    </row>
    <row r="127" spans="1:18">
      <c r="A127" t="s">
        <v>446</v>
      </c>
      <c r="B127" s="2">
        <v>45097</v>
      </c>
      <c r="C127" t="s">
        <v>218</v>
      </c>
      <c r="D127" t="s">
        <v>202</v>
      </c>
      <c r="E127" t="s">
        <v>202</v>
      </c>
      <c r="F127" t="s">
        <v>202</v>
      </c>
      <c r="G127" t="s">
        <v>202</v>
      </c>
      <c r="H127" t="s">
        <v>192</v>
      </c>
      <c r="I127" t="s">
        <v>202</v>
      </c>
      <c r="J127" t="s">
        <v>202</v>
      </c>
      <c r="K127" t="s">
        <v>202</v>
      </c>
      <c r="L127" t="s">
        <v>202</v>
      </c>
      <c r="M127" t="s">
        <v>202</v>
      </c>
      <c r="N127" t="s">
        <v>202</v>
      </c>
      <c r="O127" t="s">
        <v>192</v>
      </c>
      <c r="P127" t="s">
        <v>203</v>
      </c>
      <c r="R127" s="17"/>
    </row>
    <row r="128" spans="1:18">
      <c r="A128" t="s">
        <v>408</v>
      </c>
      <c r="B128" s="2">
        <v>45105</v>
      </c>
      <c r="C128" t="s">
        <v>218</v>
      </c>
      <c r="D128" t="s">
        <v>202</v>
      </c>
      <c r="E128" t="s">
        <v>202</v>
      </c>
      <c r="F128" t="s">
        <v>202</v>
      </c>
      <c r="G128" t="s">
        <v>202</v>
      </c>
      <c r="H128" t="s">
        <v>192</v>
      </c>
      <c r="I128" t="s">
        <v>202</v>
      </c>
      <c r="J128" t="s">
        <v>202</v>
      </c>
      <c r="K128" t="s">
        <v>202</v>
      </c>
      <c r="L128" t="s">
        <v>202</v>
      </c>
      <c r="M128" t="s">
        <v>202</v>
      </c>
      <c r="N128" t="s">
        <v>202</v>
      </c>
      <c r="O128" t="s">
        <v>192</v>
      </c>
      <c r="P128" t="s">
        <v>336</v>
      </c>
      <c r="R128" s="17"/>
    </row>
    <row r="129" spans="1:19">
      <c r="A129" t="s">
        <v>447</v>
      </c>
      <c r="B129" s="2">
        <v>45110</v>
      </c>
      <c r="C129" t="s">
        <v>201</v>
      </c>
      <c r="D129" t="s">
        <v>202</v>
      </c>
      <c r="E129" t="s">
        <v>202</v>
      </c>
      <c r="F129" t="s">
        <v>192</v>
      </c>
      <c r="G129" t="s">
        <v>202</v>
      </c>
      <c r="H129" t="s">
        <v>202</v>
      </c>
      <c r="I129" t="s">
        <v>202</v>
      </c>
      <c r="J129" t="s">
        <v>202</v>
      </c>
      <c r="K129" t="s">
        <v>202</v>
      </c>
      <c r="L129" t="s">
        <v>202</v>
      </c>
      <c r="M129" t="s">
        <v>202</v>
      </c>
      <c r="N129" t="s">
        <v>202</v>
      </c>
      <c r="O129" t="s">
        <v>192</v>
      </c>
      <c r="P129" t="s">
        <v>203</v>
      </c>
      <c r="R129" s="17"/>
    </row>
    <row r="130" spans="1:19">
      <c r="A130" t="s">
        <v>356</v>
      </c>
      <c r="B130" s="2">
        <v>45111</v>
      </c>
      <c r="C130" t="s">
        <v>201</v>
      </c>
      <c r="D130" t="s">
        <v>202</v>
      </c>
      <c r="E130" t="s">
        <v>192</v>
      </c>
      <c r="F130" t="s">
        <v>202</v>
      </c>
      <c r="G130" t="s">
        <v>192</v>
      </c>
      <c r="H130" t="s">
        <v>202</v>
      </c>
      <c r="I130" t="s">
        <v>192</v>
      </c>
      <c r="J130" t="s">
        <v>202</v>
      </c>
      <c r="K130" t="s">
        <v>202</v>
      </c>
      <c r="L130" t="s">
        <v>202</v>
      </c>
      <c r="M130" t="s">
        <v>192</v>
      </c>
      <c r="N130" t="s">
        <v>202</v>
      </c>
      <c r="O130" t="s">
        <v>192</v>
      </c>
      <c r="P130" t="s">
        <v>203</v>
      </c>
      <c r="R130" s="17"/>
    </row>
    <row r="131" spans="1:19">
      <c r="A131" t="s">
        <v>388</v>
      </c>
      <c r="B131" s="2">
        <v>45118</v>
      </c>
      <c r="C131" t="s">
        <v>218</v>
      </c>
      <c r="D131" t="s">
        <v>202</v>
      </c>
      <c r="E131" t="s">
        <v>202</v>
      </c>
      <c r="F131" t="s">
        <v>192</v>
      </c>
      <c r="G131" t="s">
        <v>202</v>
      </c>
      <c r="H131" t="s">
        <v>202</v>
      </c>
      <c r="I131" t="s">
        <v>192</v>
      </c>
      <c r="J131" t="s">
        <v>202</v>
      </c>
      <c r="K131" t="s">
        <v>202</v>
      </c>
      <c r="L131" t="s">
        <v>202</v>
      </c>
      <c r="M131" t="s">
        <v>192</v>
      </c>
      <c r="N131" t="s">
        <v>192</v>
      </c>
      <c r="O131" t="s">
        <v>192</v>
      </c>
      <c r="P131" t="s">
        <v>203</v>
      </c>
      <c r="R131" s="17"/>
    </row>
    <row r="132" spans="1:19">
      <c r="A132" t="s">
        <v>425</v>
      </c>
      <c r="B132" s="2">
        <v>45158</v>
      </c>
      <c r="C132" t="s">
        <v>201</v>
      </c>
      <c r="D132" t="s">
        <v>202</v>
      </c>
      <c r="E132" t="s">
        <v>192</v>
      </c>
      <c r="F132" t="s">
        <v>202</v>
      </c>
      <c r="G132" t="s">
        <v>202</v>
      </c>
      <c r="H132" t="s">
        <v>202</v>
      </c>
      <c r="I132" t="s">
        <v>192</v>
      </c>
      <c r="J132" t="s">
        <v>202</v>
      </c>
      <c r="K132" t="s">
        <v>202</v>
      </c>
      <c r="L132" t="s">
        <v>202</v>
      </c>
      <c r="M132" t="s">
        <v>192</v>
      </c>
      <c r="N132" t="s">
        <v>202</v>
      </c>
      <c r="O132" t="s">
        <v>192</v>
      </c>
      <c r="P132" t="s">
        <v>336</v>
      </c>
      <c r="R132" s="17"/>
    </row>
    <row r="133" spans="1:19">
      <c r="A133" s="58" t="s">
        <v>453</v>
      </c>
      <c r="B133" s="59">
        <v>45173</v>
      </c>
      <c r="C133" s="58" t="s">
        <v>218</v>
      </c>
      <c r="D133" s="58" t="s">
        <v>202</v>
      </c>
      <c r="E133" s="58" t="s">
        <v>202</v>
      </c>
      <c r="F133" s="58" t="s">
        <v>192</v>
      </c>
      <c r="G133" s="58" t="s">
        <v>202</v>
      </c>
      <c r="H133" s="58" t="s">
        <v>202</v>
      </c>
      <c r="I133" s="58" t="s">
        <v>202</v>
      </c>
      <c r="J133" s="58" t="s">
        <v>202</v>
      </c>
      <c r="K133" s="58" t="s">
        <v>202</v>
      </c>
      <c r="L133" s="58" t="s">
        <v>202</v>
      </c>
      <c r="M133" s="58" t="s">
        <v>202</v>
      </c>
      <c r="N133" s="58" t="s">
        <v>202</v>
      </c>
      <c r="O133" s="58" t="s">
        <v>192</v>
      </c>
      <c r="P133" s="58" t="s">
        <v>336</v>
      </c>
      <c r="Q133" s="58"/>
      <c r="R133" s="58"/>
      <c r="S133" s="58"/>
    </row>
    <row r="134" spans="1:19">
      <c r="A134" t="s">
        <v>351</v>
      </c>
      <c r="B134" s="2">
        <v>45175</v>
      </c>
      <c r="C134" t="s">
        <v>451</v>
      </c>
      <c r="D134" t="s">
        <v>192</v>
      </c>
      <c r="E134" t="s">
        <v>192</v>
      </c>
      <c r="F134" t="s">
        <v>192</v>
      </c>
      <c r="G134" t="s">
        <v>192</v>
      </c>
      <c r="H134" t="s">
        <v>355</v>
      </c>
      <c r="I134" t="s">
        <v>192</v>
      </c>
      <c r="J134" t="s">
        <v>192</v>
      </c>
      <c r="K134" t="s">
        <v>192</v>
      </c>
      <c r="L134" t="s">
        <v>192</v>
      </c>
      <c r="M134" t="s">
        <v>355</v>
      </c>
      <c r="N134" t="s">
        <v>202</v>
      </c>
      <c r="O134" t="s">
        <v>192</v>
      </c>
      <c r="P134" t="s">
        <v>203</v>
      </c>
      <c r="R134" s="17"/>
    </row>
    <row r="135" spans="1:19">
      <c r="A135" t="s">
        <v>422</v>
      </c>
      <c r="B135" s="2">
        <v>45180</v>
      </c>
      <c r="C135" t="s">
        <v>218</v>
      </c>
      <c r="D135" t="s">
        <v>202</v>
      </c>
      <c r="E135" t="s">
        <v>202</v>
      </c>
      <c r="F135" t="s">
        <v>202</v>
      </c>
      <c r="G135" t="s">
        <v>202</v>
      </c>
      <c r="H135" t="s">
        <v>202</v>
      </c>
      <c r="I135" t="s">
        <v>202</v>
      </c>
      <c r="J135" t="s">
        <v>202</v>
      </c>
      <c r="K135" t="s">
        <v>202</v>
      </c>
      <c r="L135" t="s">
        <v>202</v>
      </c>
      <c r="M135" t="s">
        <v>202</v>
      </c>
      <c r="N135" t="s">
        <v>202</v>
      </c>
      <c r="O135" t="s">
        <v>192</v>
      </c>
      <c r="P135" t="s">
        <v>336</v>
      </c>
      <c r="R135" s="17"/>
    </row>
    <row r="136" spans="1:19">
      <c r="A136" t="s">
        <v>454</v>
      </c>
      <c r="B136" s="2">
        <v>45182</v>
      </c>
      <c r="C136" t="s">
        <v>218</v>
      </c>
      <c r="D136" t="s">
        <v>202</v>
      </c>
      <c r="E136" t="s">
        <v>202</v>
      </c>
      <c r="F136" t="s">
        <v>192</v>
      </c>
      <c r="G136" t="s">
        <v>202</v>
      </c>
      <c r="H136" t="s">
        <v>202</v>
      </c>
      <c r="I136" t="s">
        <v>192</v>
      </c>
      <c r="J136" t="s">
        <v>202</v>
      </c>
      <c r="K136" t="s">
        <v>202</v>
      </c>
      <c r="L136" t="s">
        <v>202</v>
      </c>
      <c r="M136" t="s">
        <v>192</v>
      </c>
      <c r="N136" t="s">
        <v>202</v>
      </c>
      <c r="O136" t="s">
        <v>192</v>
      </c>
      <c r="P136" t="s">
        <v>336</v>
      </c>
      <c r="R136" s="17"/>
    </row>
    <row r="137" spans="1:19">
      <c r="A137" t="s">
        <v>390</v>
      </c>
      <c r="B137" s="2">
        <v>45183</v>
      </c>
      <c r="C137" t="s">
        <v>218</v>
      </c>
      <c r="D137" t="s">
        <v>202</v>
      </c>
      <c r="E137" t="s">
        <v>202</v>
      </c>
      <c r="F137" t="s">
        <v>202</v>
      </c>
      <c r="G137" t="s">
        <v>202</v>
      </c>
      <c r="H137" t="s">
        <v>202</v>
      </c>
      <c r="I137" t="s">
        <v>202</v>
      </c>
      <c r="J137" t="s">
        <v>202</v>
      </c>
      <c r="K137" t="s">
        <v>202</v>
      </c>
      <c r="L137" t="s">
        <v>202</v>
      </c>
      <c r="M137" t="s">
        <v>192</v>
      </c>
      <c r="N137" t="s">
        <v>202</v>
      </c>
      <c r="O137" t="s">
        <v>192</v>
      </c>
      <c r="P137" t="s">
        <v>336</v>
      </c>
      <c r="R137" s="17"/>
    </row>
    <row r="138" spans="1:19">
      <c r="A138" t="s">
        <v>460</v>
      </c>
      <c r="B138" s="2">
        <v>45187</v>
      </c>
      <c r="C138" t="s">
        <v>201</v>
      </c>
      <c r="D138" t="s">
        <v>192</v>
      </c>
      <c r="E138" t="s">
        <v>192</v>
      </c>
      <c r="F138" t="s">
        <v>192</v>
      </c>
      <c r="G138" t="s">
        <v>202</v>
      </c>
      <c r="H138" t="s">
        <v>202</v>
      </c>
      <c r="I138" t="s">
        <v>202</v>
      </c>
      <c r="J138" t="s">
        <v>202</v>
      </c>
      <c r="K138" t="s">
        <v>202</v>
      </c>
      <c r="L138" t="s">
        <v>202</v>
      </c>
      <c r="M138" t="s">
        <v>202</v>
      </c>
      <c r="N138" t="s">
        <v>202</v>
      </c>
      <c r="O138" t="s">
        <v>192</v>
      </c>
      <c r="P138" t="s">
        <v>203</v>
      </c>
      <c r="R138" s="17"/>
    </row>
    <row r="139" spans="1:19">
      <c r="A139" t="s">
        <v>455</v>
      </c>
      <c r="B139" s="2">
        <v>45190</v>
      </c>
      <c r="C139" t="s">
        <v>218</v>
      </c>
      <c r="D139" t="s">
        <v>202</v>
      </c>
      <c r="E139" t="s">
        <v>202</v>
      </c>
      <c r="F139" t="s">
        <v>202</v>
      </c>
      <c r="G139" t="s">
        <v>202</v>
      </c>
      <c r="H139" t="s">
        <v>202</v>
      </c>
      <c r="I139" t="s">
        <v>202</v>
      </c>
      <c r="J139" t="s">
        <v>202</v>
      </c>
      <c r="K139" t="s">
        <v>202</v>
      </c>
      <c r="L139" t="s">
        <v>202</v>
      </c>
      <c r="M139" t="s">
        <v>202</v>
      </c>
      <c r="N139" t="s">
        <v>202</v>
      </c>
      <c r="O139" t="s">
        <v>192</v>
      </c>
      <c r="P139" t="s">
        <v>336</v>
      </c>
      <c r="R139" s="17"/>
    </row>
    <row r="140" spans="1:19">
      <c r="A140" t="s">
        <v>212</v>
      </c>
      <c r="B140" s="2">
        <v>45194</v>
      </c>
      <c r="C140" t="s">
        <v>218</v>
      </c>
      <c r="D140" t="s">
        <v>202</v>
      </c>
      <c r="E140" t="s">
        <v>202</v>
      </c>
      <c r="F140" t="s">
        <v>202</v>
      </c>
      <c r="G140" t="s">
        <v>202</v>
      </c>
      <c r="H140" t="s">
        <v>202</v>
      </c>
      <c r="I140" t="s">
        <v>202</v>
      </c>
      <c r="J140" t="s">
        <v>202</v>
      </c>
      <c r="K140" t="s">
        <v>202</v>
      </c>
      <c r="L140" t="s">
        <v>202</v>
      </c>
      <c r="M140" t="s">
        <v>202</v>
      </c>
      <c r="N140" t="s">
        <v>202</v>
      </c>
      <c r="O140" t="s">
        <v>202</v>
      </c>
      <c r="P140" t="s">
        <v>203</v>
      </c>
      <c r="R140" s="17"/>
    </row>
    <row r="141" spans="1:19">
      <c r="A141" t="s">
        <v>456</v>
      </c>
      <c r="B141" s="2">
        <v>45196</v>
      </c>
      <c r="C141" t="s">
        <v>457</v>
      </c>
      <c r="D141" t="s">
        <v>192</v>
      </c>
      <c r="E141" t="s">
        <v>192</v>
      </c>
      <c r="F141" t="s">
        <v>202</v>
      </c>
      <c r="G141" t="s">
        <v>192</v>
      </c>
      <c r="H141" t="s">
        <v>192</v>
      </c>
      <c r="I141" t="s">
        <v>355</v>
      </c>
      <c r="J141" t="s">
        <v>202</v>
      </c>
      <c r="K141" t="s">
        <v>202</v>
      </c>
      <c r="L141" t="s">
        <v>192</v>
      </c>
      <c r="M141" t="s">
        <v>192</v>
      </c>
      <c r="N141" t="s">
        <v>202</v>
      </c>
      <c r="O141" t="s">
        <v>192</v>
      </c>
      <c r="P141" t="s">
        <v>203</v>
      </c>
      <c r="R141" s="17"/>
    </row>
    <row r="142" spans="1:19">
      <c r="A142" t="s">
        <v>264</v>
      </c>
      <c r="B142" s="2">
        <v>45201</v>
      </c>
      <c r="C142" t="s">
        <v>218</v>
      </c>
      <c r="D142" t="s">
        <v>202</v>
      </c>
      <c r="E142" t="s">
        <v>202</v>
      </c>
      <c r="F142" t="s">
        <v>202</v>
      </c>
      <c r="G142" t="s">
        <v>202</v>
      </c>
      <c r="H142" t="s">
        <v>202</v>
      </c>
      <c r="I142" t="s">
        <v>202</v>
      </c>
      <c r="J142" t="s">
        <v>202</v>
      </c>
      <c r="K142" t="s">
        <v>202</v>
      </c>
      <c r="L142" t="s">
        <v>192</v>
      </c>
      <c r="M142" t="s">
        <v>202</v>
      </c>
      <c r="N142" t="s">
        <v>202</v>
      </c>
      <c r="O142" t="s">
        <v>192</v>
      </c>
      <c r="P142" t="s">
        <v>336</v>
      </c>
      <c r="R142" s="17"/>
    </row>
    <row r="143" spans="1:19">
      <c r="A143" t="s">
        <v>412</v>
      </c>
      <c r="B143" s="2">
        <v>45203</v>
      </c>
      <c r="C143" t="s">
        <v>218</v>
      </c>
      <c r="D143" t="s">
        <v>202</v>
      </c>
      <c r="E143" t="s">
        <v>202</v>
      </c>
      <c r="F143" t="s">
        <v>202</v>
      </c>
      <c r="G143" t="s">
        <v>202</v>
      </c>
      <c r="H143" t="s">
        <v>202</v>
      </c>
      <c r="I143" t="s">
        <v>192</v>
      </c>
      <c r="J143" t="s">
        <v>462</v>
      </c>
      <c r="K143" t="s">
        <v>202</v>
      </c>
      <c r="L143" t="s">
        <v>202</v>
      </c>
      <c r="M143" t="s">
        <v>192</v>
      </c>
      <c r="N143" t="s">
        <v>202</v>
      </c>
      <c r="O143" t="s">
        <v>192</v>
      </c>
      <c r="P143" t="s">
        <v>203</v>
      </c>
      <c r="R143" s="17"/>
    </row>
    <row r="144" spans="1:19">
      <c r="A144" t="s">
        <v>461</v>
      </c>
      <c r="B144" s="2">
        <v>45204</v>
      </c>
      <c r="C144" t="s">
        <v>201</v>
      </c>
      <c r="D144" t="s">
        <v>192</v>
      </c>
      <c r="E144" t="s">
        <v>192</v>
      </c>
      <c r="F144" t="s">
        <v>192</v>
      </c>
      <c r="G144" t="s">
        <v>192</v>
      </c>
      <c r="H144" t="s">
        <v>192</v>
      </c>
      <c r="I144" t="s">
        <v>192</v>
      </c>
      <c r="J144" t="s">
        <v>202</v>
      </c>
      <c r="K144" t="s">
        <v>202</v>
      </c>
      <c r="L144" t="s">
        <v>202</v>
      </c>
      <c r="M144" t="s">
        <v>202</v>
      </c>
      <c r="N144" t="s">
        <v>202</v>
      </c>
      <c r="O144" t="s">
        <v>192</v>
      </c>
      <c r="P144" t="s">
        <v>203</v>
      </c>
      <c r="R144" s="17"/>
    </row>
    <row r="145" spans="1:18">
      <c r="A145" t="s">
        <v>413</v>
      </c>
      <c r="B145" s="2">
        <v>45208</v>
      </c>
      <c r="C145" t="s">
        <v>218</v>
      </c>
      <c r="D145" t="s">
        <v>202</v>
      </c>
      <c r="E145" t="s">
        <v>202</v>
      </c>
      <c r="F145" t="s">
        <v>202</v>
      </c>
      <c r="G145" t="s">
        <v>202</v>
      </c>
      <c r="H145" t="s">
        <v>202</v>
      </c>
      <c r="I145" t="s">
        <v>202</v>
      </c>
      <c r="J145" s="18" t="s">
        <v>202</v>
      </c>
      <c r="K145" s="18" t="s">
        <v>202</v>
      </c>
      <c r="L145" s="18" t="s">
        <v>202</v>
      </c>
      <c r="M145" s="18" t="s">
        <v>202</v>
      </c>
      <c r="N145" t="s">
        <v>202</v>
      </c>
      <c r="O145" t="s">
        <v>192</v>
      </c>
      <c r="P145" t="s">
        <v>203</v>
      </c>
      <c r="R145" s="17"/>
    </row>
    <row r="146" spans="1:18">
      <c r="A146" t="s">
        <v>423</v>
      </c>
      <c r="B146" s="2">
        <v>45210</v>
      </c>
      <c r="C146" t="s">
        <v>201</v>
      </c>
      <c r="D146" t="s">
        <v>192</v>
      </c>
      <c r="E146" t="s">
        <v>192</v>
      </c>
      <c r="F146" t="s">
        <v>192</v>
      </c>
      <c r="G146" t="s">
        <v>202</v>
      </c>
      <c r="H146" t="s">
        <v>202</v>
      </c>
      <c r="I146" t="s">
        <v>202</v>
      </c>
      <c r="J146" t="s">
        <v>202</v>
      </c>
      <c r="K146" t="s">
        <v>202</v>
      </c>
      <c r="L146" t="s">
        <v>202</v>
      </c>
      <c r="M146" t="s">
        <v>202</v>
      </c>
      <c r="N146" t="s">
        <v>202</v>
      </c>
      <c r="O146" t="s">
        <v>192</v>
      </c>
      <c r="P146" t="s">
        <v>336</v>
      </c>
      <c r="R146" s="17"/>
    </row>
    <row r="147" spans="1:18">
      <c r="A147" t="s">
        <v>367</v>
      </c>
      <c r="B147" s="2">
        <v>45217</v>
      </c>
      <c r="C147" t="s">
        <v>218</v>
      </c>
      <c r="D147" t="s">
        <v>202</v>
      </c>
      <c r="E147" t="s">
        <v>202</v>
      </c>
      <c r="F147" t="s">
        <v>202</v>
      </c>
      <c r="G147" t="s">
        <v>202</v>
      </c>
      <c r="H147" t="s">
        <v>202</v>
      </c>
      <c r="I147" s="18" t="s">
        <v>192</v>
      </c>
      <c r="J147" s="18" t="s">
        <v>202</v>
      </c>
      <c r="K147" s="18" t="s">
        <v>202</v>
      </c>
      <c r="L147" s="18" t="s">
        <v>202</v>
      </c>
      <c r="M147" s="18" t="s">
        <v>192</v>
      </c>
      <c r="N147" t="s">
        <v>202</v>
      </c>
      <c r="O147" t="s">
        <v>192</v>
      </c>
      <c r="P147" t="s">
        <v>336</v>
      </c>
      <c r="R147" s="17"/>
    </row>
    <row r="148" spans="1:18">
      <c r="A148" t="s">
        <v>458</v>
      </c>
      <c r="B148" s="2">
        <v>45218</v>
      </c>
      <c r="C148" t="s">
        <v>201</v>
      </c>
      <c r="D148" t="s">
        <v>202</v>
      </c>
      <c r="E148" t="s">
        <v>192</v>
      </c>
      <c r="F148" t="s">
        <v>202</v>
      </c>
      <c r="G148" t="s">
        <v>202</v>
      </c>
      <c r="H148" t="s">
        <v>202</v>
      </c>
      <c r="I148" t="s">
        <v>192</v>
      </c>
      <c r="J148" t="s">
        <v>202</v>
      </c>
      <c r="K148" t="s">
        <v>202</v>
      </c>
      <c r="L148" t="s">
        <v>202</v>
      </c>
      <c r="M148" t="s">
        <v>192</v>
      </c>
      <c r="N148" t="s">
        <v>202</v>
      </c>
      <c r="O148" t="s">
        <v>192</v>
      </c>
      <c r="P148" t="s">
        <v>203</v>
      </c>
      <c r="R148" s="17"/>
    </row>
    <row r="149" spans="1:18">
      <c r="A149" s="18" t="s">
        <v>459</v>
      </c>
      <c r="B149" s="60">
        <v>45222</v>
      </c>
      <c r="C149" s="18" t="s">
        <v>218</v>
      </c>
      <c r="D149" s="18" t="s">
        <v>202</v>
      </c>
      <c r="E149" s="18" t="s">
        <v>202</v>
      </c>
      <c r="F149" s="18" t="s">
        <v>202</v>
      </c>
      <c r="G149" s="18" t="s">
        <v>202</v>
      </c>
      <c r="H149" s="18" t="s">
        <v>202</v>
      </c>
      <c r="I149" s="18" t="s">
        <v>192</v>
      </c>
      <c r="J149" s="18" t="s">
        <v>202</v>
      </c>
      <c r="K149" t="s">
        <v>202</v>
      </c>
      <c r="L149" t="s">
        <v>202</v>
      </c>
      <c r="M149" t="s">
        <v>192</v>
      </c>
      <c r="N149" t="s">
        <v>202</v>
      </c>
      <c r="O149" t="s">
        <v>192</v>
      </c>
      <c r="P149" t="s">
        <v>336</v>
      </c>
      <c r="R149" s="17"/>
    </row>
    <row r="150" spans="1:18" ht="45">
      <c r="A150" t="s">
        <v>311</v>
      </c>
      <c r="B150" s="2">
        <v>45225</v>
      </c>
      <c r="C150" t="s">
        <v>218</v>
      </c>
      <c r="D150" t="s">
        <v>202</v>
      </c>
      <c r="E150" t="s">
        <v>202</v>
      </c>
      <c r="F150" t="s">
        <v>192</v>
      </c>
      <c r="G150" t="s">
        <v>202</v>
      </c>
      <c r="H150" t="s">
        <v>202</v>
      </c>
      <c r="I150" t="s">
        <v>192</v>
      </c>
      <c r="J150" t="s">
        <v>202</v>
      </c>
      <c r="K150" t="s">
        <v>202</v>
      </c>
      <c r="L150" t="s">
        <v>192</v>
      </c>
      <c r="M150" t="s">
        <v>192</v>
      </c>
      <c r="N150" t="s">
        <v>192</v>
      </c>
      <c r="O150" t="s">
        <v>192</v>
      </c>
      <c r="P150" t="s">
        <v>192</v>
      </c>
      <c r="R150" s="61" t="s">
        <v>467</v>
      </c>
    </row>
    <row r="151" spans="1:18" ht="45">
      <c r="A151" t="s">
        <v>425</v>
      </c>
      <c r="B151" s="2">
        <v>45226</v>
      </c>
      <c r="C151" t="s">
        <v>218</v>
      </c>
      <c r="D151" t="s">
        <v>202</v>
      </c>
      <c r="E151" t="s">
        <v>202</v>
      </c>
      <c r="F151" t="s">
        <v>202</v>
      </c>
      <c r="G151" t="s">
        <v>202</v>
      </c>
      <c r="H151" t="s">
        <v>202</v>
      </c>
      <c r="I151" t="s">
        <v>192</v>
      </c>
      <c r="J151" t="s">
        <v>192</v>
      </c>
      <c r="K151" t="s">
        <v>202</v>
      </c>
      <c r="L151" t="s">
        <v>192</v>
      </c>
      <c r="M151" t="s">
        <v>192</v>
      </c>
      <c r="N151" t="s">
        <v>192</v>
      </c>
      <c r="O151" t="s">
        <v>192</v>
      </c>
      <c r="P151" t="s">
        <v>192</v>
      </c>
      <c r="R151" s="61" t="s">
        <v>467</v>
      </c>
    </row>
    <row r="152" spans="1:18">
      <c r="A152" t="s">
        <v>465</v>
      </c>
      <c r="B152" s="2">
        <v>45233</v>
      </c>
      <c r="C152" t="s">
        <v>201</v>
      </c>
      <c r="D152" t="s">
        <v>192</v>
      </c>
      <c r="E152" t="s">
        <v>192</v>
      </c>
      <c r="F152" t="s">
        <v>192</v>
      </c>
      <c r="G152" t="s">
        <v>192</v>
      </c>
      <c r="H152" t="s">
        <v>192</v>
      </c>
      <c r="I152" t="s">
        <v>202</v>
      </c>
      <c r="J152" t="s">
        <v>202</v>
      </c>
      <c r="K152" t="s">
        <v>202</v>
      </c>
      <c r="L152" t="s">
        <v>202</v>
      </c>
      <c r="M152" t="s">
        <v>202</v>
      </c>
      <c r="N152" t="s">
        <v>202</v>
      </c>
      <c r="O152" t="s">
        <v>192</v>
      </c>
      <c r="P152" t="s">
        <v>203</v>
      </c>
      <c r="R152" s="17"/>
    </row>
    <row r="153" spans="1:18">
      <c r="A153" t="s">
        <v>226</v>
      </c>
      <c r="B153" s="2">
        <v>45238</v>
      </c>
      <c r="C153" t="s">
        <v>218</v>
      </c>
      <c r="D153" t="s">
        <v>202</v>
      </c>
      <c r="E153" t="s">
        <v>202</v>
      </c>
      <c r="F153" t="s">
        <v>202</v>
      </c>
      <c r="G153" t="s">
        <v>202</v>
      </c>
      <c r="H153" t="s">
        <v>202</v>
      </c>
      <c r="I153" t="s">
        <v>192</v>
      </c>
      <c r="J153" s="19" t="s">
        <v>202</v>
      </c>
      <c r="K153" s="19" t="s">
        <v>202</v>
      </c>
      <c r="L153" s="19" t="s">
        <v>202</v>
      </c>
      <c r="M153" s="19" t="s">
        <v>192</v>
      </c>
      <c r="N153" t="s">
        <v>202</v>
      </c>
      <c r="O153" t="s">
        <v>192</v>
      </c>
      <c r="P153" t="s">
        <v>203</v>
      </c>
      <c r="R153" s="17"/>
    </row>
    <row r="154" spans="1:18">
      <c r="A154" t="s">
        <v>411</v>
      </c>
      <c r="B154" s="2">
        <v>45243</v>
      </c>
      <c r="C154" t="s">
        <v>218</v>
      </c>
      <c r="D154" t="s">
        <v>202</v>
      </c>
      <c r="E154" t="s">
        <v>202</v>
      </c>
      <c r="F154" t="s">
        <v>202</v>
      </c>
      <c r="G154" t="s">
        <v>202</v>
      </c>
      <c r="H154" s="18" t="s">
        <v>202</v>
      </c>
      <c r="I154" s="18" t="s">
        <v>202</v>
      </c>
      <c r="J154" s="18" t="s">
        <v>202</v>
      </c>
      <c r="K154" s="18" t="s">
        <v>202</v>
      </c>
      <c r="L154" s="18" t="s">
        <v>202</v>
      </c>
      <c r="M154" s="18" t="s">
        <v>202</v>
      </c>
      <c r="N154" t="s">
        <v>202</v>
      </c>
      <c r="O154" t="s">
        <v>192</v>
      </c>
      <c r="P154" t="s">
        <v>203</v>
      </c>
      <c r="R154" s="17"/>
    </row>
    <row r="155" spans="1:18">
      <c r="A155" t="s">
        <v>463</v>
      </c>
      <c r="B155" s="2">
        <v>45245</v>
      </c>
      <c r="C155" t="s">
        <v>201</v>
      </c>
      <c r="D155" t="s">
        <v>192</v>
      </c>
      <c r="E155" t="s">
        <v>192</v>
      </c>
      <c r="F155" t="s">
        <v>202</v>
      </c>
      <c r="G155" t="s">
        <v>202</v>
      </c>
      <c r="H155" t="s">
        <v>202</v>
      </c>
      <c r="I155" t="s">
        <v>202</v>
      </c>
      <c r="J155" t="s">
        <v>202</v>
      </c>
      <c r="K155" t="s">
        <v>202</v>
      </c>
      <c r="L155" t="s">
        <v>202</v>
      </c>
      <c r="M155" t="s">
        <v>202</v>
      </c>
      <c r="N155" t="s">
        <v>202</v>
      </c>
      <c r="O155" t="s">
        <v>192</v>
      </c>
      <c r="P155" t="s">
        <v>203</v>
      </c>
      <c r="R155" s="17"/>
    </row>
    <row r="156" spans="1:18">
      <c r="A156" t="s">
        <v>215</v>
      </c>
      <c r="B156" s="2">
        <v>45246</v>
      </c>
      <c r="C156" t="s">
        <v>218</v>
      </c>
      <c r="D156" t="s">
        <v>202</v>
      </c>
      <c r="E156" t="s">
        <v>202</v>
      </c>
      <c r="F156" t="s">
        <v>202</v>
      </c>
      <c r="G156" t="s">
        <v>202</v>
      </c>
      <c r="H156" t="s">
        <v>202</v>
      </c>
      <c r="I156" t="s">
        <v>202</v>
      </c>
      <c r="J156" t="s">
        <v>202</v>
      </c>
      <c r="K156" t="s">
        <v>202</v>
      </c>
      <c r="L156" t="s">
        <v>202</v>
      </c>
      <c r="M156" t="s">
        <v>202</v>
      </c>
      <c r="N156" t="s">
        <v>202</v>
      </c>
      <c r="O156" t="s">
        <v>192</v>
      </c>
      <c r="P156" t="s">
        <v>203</v>
      </c>
      <c r="R156" s="17"/>
    </row>
    <row r="157" spans="1:18">
      <c r="A157" t="s">
        <v>464</v>
      </c>
      <c r="B157" s="2">
        <v>45247</v>
      </c>
      <c r="C157" t="s">
        <v>218</v>
      </c>
      <c r="D157" t="s">
        <v>202</v>
      </c>
      <c r="E157" t="s">
        <v>202</v>
      </c>
      <c r="F157" t="s">
        <v>202</v>
      </c>
      <c r="G157" t="s">
        <v>202</v>
      </c>
      <c r="H157" t="s">
        <v>202</v>
      </c>
      <c r="I157" t="s">
        <v>192</v>
      </c>
      <c r="J157" t="s">
        <v>202</v>
      </c>
      <c r="K157" t="s">
        <v>202</v>
      </c>
      <c r="L157" t="s">
        <v>202</v>
      </c>
      <c r="M157" t="s">
        <v>192</v>
      </c>
      <c r="N157" t="s">
        <v>202</v>
      </c>
      <c r="O157" t="s">
        <v>192</v>
      </c>
      <c r="P157" t="s">
        <v>336</v>
      </c>
      <c r="R157" s="17"/>
    </row>
    <row r="158" spans="1:18">
      <c r="A158" t="s">
        <v>324</v>
      </c>
      <c r="B158" s="2">
        <v>45250</v>
      </c>
      <c r="C158" t="s">
        <v>218</v>
      </c>
      <c r="D158" t="s">
        <v>202</v>
      </c>
      <c r="E158" t="s">
        <v>202</v>
      </c>
      <c r="F158" t="s">
        <v>202</v>
      </c>
      <c r="G158" t="s">
        <v>202</v>
      </c>
      <c r="H158" t="s">
        <v>202</v>
      </c>
      <c r="I158" t="s">
        <v>192</v>
      </c>
      <c r="J158" t="s">
        <v>202</v>
      </c>
      <c r="K158" t="s">
        <v>202</v>
      </c>
      <c r="L158" t="s">
        <v>202</v>
      </c>
      <c r="M158" t="s">
        <v>192</v>
      </c>
      <c r="N158" t="s">
        <v>202</v>
      </c>
      <c r="O158" t="s">
        <v>192</v>
      </c>
      <c r="P158" t="s">
        <v>203</v>
      </c>
      <c r="R158" s="17"/>
    </row>
    <row r="159" spans="1:18">
      <c r="A159" t="s">
        <v>466</v>
      </c>
      <c r="B159" s="2">
        <v>45253</v>
      </c>
      <c r="C159" t="s">
        <v>201</v>
      </c>
      <c r="D159" t="s">
        <v>192</v>
      </c>
      <c r="E159" t="s">
        <v>192</v>
      </c>
      <c r="F159" t="s">
        <v>192</v>
      </c>
      <c r="G159" t="s">
        <v>202</v>
      </c>
      <c r="H159" t="s">
        <v>202</v>
      </c>
      <c r="I159" t="s">
        <v>192</v>
      </c>
      <c r="J159" t="s">
        <v>202</v>
      </c>
      <c r="K159" t="s">
        <v>202</v>
      </c>
      <c r="L159" t="s">
        <v>202</v>
      </c>
      <c r="M159" t="s">
        <v>192</v>
      </c>
      <c r="N159" t="s">
        <v>202</v>
      </c>
      <c r="O159" t="s">
        <v>192</v>
      </c>
      <c r="P159" t="s">
        <v>203</v>
      </c>
      <c r="R159" s="17"/>
    </row>
    <row r="160" spans="1:18">
      <c r="A160" t="s">
        <v>234</v>
      </c>
      <c r="B160" s="2">
        <v>45257</v>
      </c>
      <c r="C160" t="s">
        <v>218</v>
      </c>
      <c r="D160" t="s">
        <v>202</v>
      </c>
      <c r="E160" t="s">
        <v>202</v>
      </c>
      <c r="F160" t="s">
        <v>202</v>
      </c>
      <c r="G160" t="s">
        <v>202</v>
      </c>
      <c r="H160" t="s">
        <v>202</v>
      </c>
      <c r="I160" t="s">
        <v>202</v>
      </c>
      <c r="J160" t="s">
        <v>202</v>
      </c>
      <c r="K160" t="s">
        <v>202</v>
      </c>
      <c r="L160" t="s">
        <v>202</v>
      </c>
      <c r="M160" t="s">
        <v>202</v>
      </c>
      <c r="N160" t="s">
        <v>202</v>
      </c>
      <c r="O160" t="s">
        <v>192</v>
      </c>
      <c r="P160" t="s">
        <v>336</v>
      </c>
      <c r="R160" s="17"/>
    </row>
    <row r="161" spans="1:19">
      <c r="A161" s="19" t="s">
        <v>323</v>
      </c>
      <c r="B161" s="2">
        <v>45260</v>
      </c>
      <c r="C161" t="s">
        <v>218</v>
      </c>
      <c r="D161" t="s">
        <v>202</v>
      </c>
      <c r="E161" t="s">
        <v>202</v>
      </c>
      <c r="F161" t="s">
        <v>202</v>
      </c>
      <c r="G161" t="s">
        <v>202</v>
      </c>
      <c r="H161" t="s">
        <v>202</v>
      </c>
      <c r="I161" t="s">
        <v>355</v>
      </c>
      <c r="J161" t="s">
        <v>202</v>
      </c>
      <c r="K161" t="s">
        <v>202</v>
      </c>
      <c r="L161" s="11" t="s">
        <v>355</v>
      </c>
      <c r="M161" t="s">
        <v>202</v>
      </c>
      <c r="N161" t="s">
        <v>202</v>
      </c>
      <c r="O161" t="s">
        <v>192</v>
      </c>
      <c r="P161" t="s">
        <v>203</v>
      </c>
      <c r="R161" s="17"/>
    </row>
    <row r="162" spans="1:19">
      <c r="A162" t="s">
        <v>330</v>
      </c>
      <c r="B162" s="2">
        <v>45271</v>
      </c>
      <c r="C162" t="s">
        <v>218</v>
      </c>
      <c r="D162" t="s">
        <v>202</v>
      </c>
      <c r="E162" t="s">
        <v>202</v>
      </c>
      <c r="F162" t="s">
        <v>202</v>
      </c>
      <c r="G162" t="s">
        <v>202</v>
      </c>
      <c r="H162" t="s">
        <v>202</v>
      </c>
      <c r="I162" t="s">
        <v>202</v>
      </c>
      <c r="J162" t="s">
        <v>202</v>
      </c>
      <c r="K162" t="s">
        <v>202</v>
      </c>
      <c r="L162" t="s">
        <v>202</v>
      </c>
      <c r="M162" t="s">
        <v>202</v>
      </c>
      <c r="N162" t="s">
        <v>202</v>
      </c>
      <c r="O162" t="s">
        <v>192</v>
      </c>
      <c r="P162" t="s">
        <v>203</v>
      </c>
      <c r="R162" s="17"/>
    </row>
    <row r="163" spans="1:19">
      <c r="A163" s="19" t="s">
        <v>423</v>
      </c>
      <c r="B163" s="2">
        <v>45274</v>
      </c>
      <c r="C163" t="s">
        <v>218</v>
      </c>
      <c r="D163" t="s">
        <v>202</v>
      </c>
      <c r="E163" t="s">
        <v>202</v>
      </c>
      <c r="F163" t="s">
        <v>202</v>
      </c>
      <c r="G163" t="s">
        <v>202</v>
      </c>
      <c r="H163" t="s">
        <v>202</v>
      </c>
      <c r="I163" t="s">
        <v>202</v>
      </c>
      <c r="J163" t="s">
        <v>202</v>
      </c>
      <c r="K163" t="s">
        <v>202</v>
      </c>
      <c r="L163" t="s">
        <v>202</v>
      </c>
      <c r="M163" t="s">
        <v>202</v>
      </c>
      <c r="N163" t="s">
        <v>202</v>
      </c>
      <c r="O163" t="s">
        <v>468</v>
      </c>
      <c r="P163" t="s">
        <v>336</v>
      </c>
      <c r="R163" s="17"/>
    </row>
    <row r="164" spans="1:19" hidden="1">
      <c r="A164" t="s">
        <v>447</v>
      </c>
      <c r="B164" s="2">
        <v>45264</v>
      </c>
      <c r="C164" t="s">
        <v>201</v>
      </c>
      <c r="S164" t="s">
        <v>452</v>
      </c>
    </row>
    <row r="165" spans="1:19" ht="30">
      <c r="A165" t="s">
        <v>265</v>
      </c>
      <c r="B165" s="2">
        <v>45301</v>
      </c>
      <c r="C165" t="s">
        <v>218</v>
      </c>
      <c r="D165" t="s">
        <v>202</v>
      </c>
      <c r="E165" t="s">
        <v>202</v>
      </c>
      <c r="F165" t="s">
        <v>192</v>
      </c>
      <c r="G165" t="s">
        <v>202</v>
      </c>
      <c r="H165" s="11" t="s">
        <v>469</v>
      </c>
      <c r="I165" t="s">
        <v>192</v>
      </c>
      <c r="J165" t="s">
        <v>202</v>
      </c>
      <c r="K165" t="s">
        <v>202</v>
      </c>
      <c r="L165" s="11" t="s">
        <v>355</v>
      </c>
      <c r="M165" t="s">
        <v>192</v>
      </c>
      <c r="N165" t="s">
        <v>202</v>
      </c>
      <c r="O165" t="s">
        <v>192</v>
      </c>
      <c r="P165" t="s">
        <v>203</v>
      </c>
      <c r="R165" s="17"/>
    </row>
    <row r="166" spans="1:19">
      <c r="A166" t="s">
        <v>220</v>
      </c>
      <c r="B166" s="2">
        <v>45302</v>
      </c>
      <c r="C166" t="s">
        <v>218</v>
      </c>
      <c r="D166" t="s">
        <v>202</v>
      </c>
      <c r="E166" t="s">
        <v>202</v>
      </c>
      <c r="F166" t="s">
        <v>202</v>
      </c>
      <c r="G166" t="s">
        <v>202</v>
      </c>
      <c r="H166" t="s">
        <v>202</v>
      </c>
      <c r="I166" t="s">
        <v>192</v>
      </c>
      <c r="J166" t="s">
        <v>202</v>
      </c>
      <c r="K166" t="s">
        <v>202</v>
      </c>
      <c r="L166" t="s">
        <v>202</v>
      </c>
      <c r="M166" t="s">
        <v>192</v>
      </c>
      <c r="N166" t="s">
        <v>202</v>
      </c>
      <c r="O166" t="s">
        <v>192</v>
      </c>
      <c r="P166" t="s">
        <v>203</v>
      </c>
      <c r="R166" s="17"/>
    </row>
    <row r="167" spans="1:19">
      <c r="A167" t="s">
        <v>332</v>
      </c>
      <c r="B167" s="2">
        <v>45308</v>
      </c>
      <c r="C167" t="s">
        <v>218</v>
      </c>
      <c r="D167" t="s">
        <v>202</v>
      </c>
      <c r="E167" t="s">
        <v>202</v>
      </c>
      <c r="F167" t="s">
        <v>202</v>
      </c>
      <c r="G167" t="s">
        <v>202</v>
      </c>
      <c r="H167" t="s">
        <v>202</v>
      </c>
      <c r="I167" t="s">
        <v>192</v>
      </c>
      <c r="J167" t="s">
        <v>202</v>
      </c>
      <c r="K167" t="s">
        <v>202</v>
      </c>
      <c r="L167" t="s">
        <v>202</v>
      </c>
      <c r="M167" t="s">
        <v>192</v>
      </c>
      <c r="N167" t="s">
        <v>202</v>
      </c>
      <c r="O167" t="s">
        <v>192</v>
      </c>
      <c r="P167" t="s">
        <v>336</v>
      </c>
      <c r="R167" s="17"/>
    </row>
    <row r="168" spans="1:19">
      <c r="A168" t="s">
        <v>465</v>
      </c>
      <c r="B168" s="2">
        <v>45313</v>
      </c>
      <c r="C168" t="s">
        <v>201</v>
      </c>
      <c r="D168" t="s">
        <v>192</v>
      </c>
      <c r="E168" t="s">
        <v>192</v>
      </c>
      <c r="F168" t="s">
        <v>202</v>
      </c>
      <c r="G168" t="s">
        <v>192</v>
      </c>
      <c r="H168" t="s">
        <v>202</v>
      </c>
      <c r="I168" t="s">
        <v>202</v>
      </c>
      <c r="J168" t="s">
        <v>202</v>
      </c>
      <c r="K168" t="s">
        <v>202</v>
      </c>
      <c r="L168" t="s">
        <v>202</v>
      </c>
      <c r="M168" t="s">
        <v>202</v>
      </c>
      <c r="N168" t="s">
        <v>202</v>
      </c>
      <c r="O168" t="s">
        <v>192</v>
      </c>
      <c r="P168" t="s">
        <v>203</v>
      </c>
      <c r="R168" s="17"/>
    </row>
    <row r="169" spans="1:19">
      <c r="A169" t="s">
        <v>441</v>
      </c>
      <c r="B169" s="2">
        <v>45314</v>
      </c>
      <c r="C169" t="s">
        <v>201</v>
      </c>
      <c r="D169" t="s">
        <v>192</v>
      </c>
      <c r="E169" t="s">
        <v>192</v>
      </c>
      <c r="F169" t="s">
        <v>202</v>
      </c>
      <c r="G169" t="s">
        <v>192</v>
      </c>
      <c r="H169" t="s">
        <v>202</v>
      </c>
      <c r="I169" t="s">
        <v>202</v>
      </c>
      <c r="J169" t="s">
        <v>202</v>
      </c>
      <c r="K169" t="s">
        <v>202</v>
      </c>
      <c r="L169" t="s">
        <v>202</v>
      </c>
      <c r="M169" t="s">
        <v>202</v>
      </c>
      <c r="N169" t="s">
        <v>202</v>
      </c>
      <c r="O169" t="s">
        <v>192</v>
      </c>
      <c r="P169" t="s">
        <v>203</v>
      </c>
      <c r="R169" s="17"/>
    </row>
    <row r="170" spans="1:19">
      <c r="A170" t="s">
        <v>443</v>
      </c>
      <c r="B170" s="2">
        <v>45314</v>
      </c>
      <c r="C170" t="s">
        <v>201</v>
      </c>
      <c r="D170" t="s">
        <v>192</v>
      </c>
      <c r="E170" t="s">
        <v>192</v>
      </c>
      <c r="F170" t="s">
        <v>202</v>
      </c>
      <c r="G170" t="s">
        <v>192</v>
      </c>
      <c r="H170" t="s">
        <v>202</v>
      </c>
      <c r="I170" t="s">
        <v>202</v>
      </c>
      <c r="J170" t="s">
        <v>202</v>
      </c>
      <c r="K170" t="s">
        <v>202</v>
      </c>
      <c r="L170" t="s">
        <v>202</v>
      </c>
      <c r="M170" t="s">
        <v>202</v>
      </c>
      <c r="N170" t="s">
        <v>202</v>
      </c>
      <c r="O170" t="s">
        <v>192</v>
      </c>
      <c r="P170" t="s">
        <v>203</v>
      </c>
      <c r="R170" s="17"/>
    </row>
    <row r="171" spans="1:19">
      <c r="A171" t="s">
        <v>470</v>
      </c>
      <c r="B171" s="2">
        <v>45322</v>
      </c>
      <c r="C171" t="s">
        <v>218</v>
      </c>
      <c r="D171" t="s">
        <v>202</v>
      </c>
      <c r="E171" t="s">
        <v>202</v>
      </c>
      <c r="F171" t="s">
        <v>202</v>
      </c>
      <c r="G171" t="s">
        <v>192</v>
      </c>
      <c r="H171" t="s">
        <v>202</v>
      </c>
      <c r="I171" t="s">
        <v>202</v>
      </c>
      <c r="J171" t="s">
        <v>202</v>
      </c>
      <c r="K171" t="s">
        <v>202</v>
      </c>
      <c r="L171" t="s">
        <v>202</v>
      </c>
      <c r="M171" t="s">
        <v>202</v>
      </c>
      <c r="N171" t="s">
        <v>202</v>
      </c>
      <c r="O171" t="s">
        <v>192</v>
      </c>
      <c r="P171" t="s">
        <v>203</v>
      </c>
      <c r="R171" s="17"/>
    </row>
    <row r="172" spans="1:19">
      <c r="A172" t="s">
        <v>351</v>
      </c>
      <c r="B172" s="2">
        <v>45334</v>
      </c>
      <c r="C172" t="s">
        <v>218</v>
      </c>
      <c r="D172" t="s">
        <v>202</v>
      </c>
      <c r="E172" t="s">
        <v>202</v>
      </c>
      <c r="F172" t="s">
        <v>202</v>
      </c>
      <c r="G172" t="s">
        <v>202</v>
      </c>
      <c r="H172" t="s">
        <v>202</v>
      </c>
      <c r="I172" t="s">
        <v>192</v>
      </c>
      <c r="J172" t="s">
        <v>202</v>
      </c>
      <c r="K172" t="s">
        <v>202</v>
      </c>
      <c r="L172" t="s">
        <v>202</v>
      </c>
      <c r="M172" t="s">
        <v>202</v>
      </c>
      <c r="N172" t="s">
        <v>202</v>
      </c>
      <c r="O172" t="s">
        <v>192</v>
      </c>
      <c r="P172" t="s">
        <v>203</v>
      </c>
      <c r="R172" s="17"/>
    </row>
    <row r="173" spans="1:19">
      <c r="A173" t="s">
        <v>334</v>
      </c>
      <c r="B173" s="2">
        <v>45337</v>
      </c>
      <c r="C173" t="s">
        <v>218</v>
      </c>
      <c r="D173" t="s">
        <v>202</v>
      </c>
      <c r="E173" t="s">
        <v>202</v>
      </c>
      <c r="F173" t="s">
        <v>202</v>
      </c>
      <c r="G173" t="s">
        <v>202</v>
      </c>
      <c r="H173" t="s">
        <v>202</v>
      </c>
      <c r="I173" t="s">
        <v>202</v>
      </c>
      <c r="J173" t="s">
        <v>202</v>
      </c>
      <c r="K173" t="s">
        <v>202</v>
      </c>
      <c r="L173" t="s">
        <v>202</v>
      </c>
      <c r="M173" t="s">
        <v>202</v>
      </c>
      <c r="N173" t="s">
        <v>202</v>
      </c>
      <c r="O173" t="s">
        <v>192</v>
      </c>
      <c r="P173" t="s">
        <v>203</v>
      </c>
      <c r="R173" s="17"/>
    </row>
    <row r="174" spans="1:19">
      <c r="A174" t="s">
        <v>427</v>
      </c>
      <c r="B174" s="2">
        <v>45341</v>
      </c>
      <c r="C174" t="s">
        <v>218</v>
      </c>
      <c r="D174" t="s">
        <v>202</v>
      </c>
      <c r="E174" t="s">
        <v>202</v>
      </c>
      <c r="F174" t="s">
        <v>202</v>
      </c>
      <c r="G174" t="s">
        <v>202</v>
      </c>
      <c r="H174" t="s">
        <v>202</v>
      </c>
      <c r="I174" t="s">
        <v>202</v>
      </c>
      <c r="J174" t="s">
        <v>202</v>
      </c>
      <c r="K174" t="s">
        <v>202</v>
      </c>
      <c r="L174" t="s">
        <v>202</v>
      </c>
      <c r="M174" t="s">
        <v>202</v>
      </c>
      <c r="N174" t="s">
        <v>202</v>
      </c>
      <c r="O174" t="s">
        <v>192</v>
      </c>
      <c r="P174" t="s">
        <v>336</v>
      </c>
      <c r="R174" s="17"/>
    </row>
    <row r="175" spans="1:19">
      <c r="A175" t="s">
        <v>338</v>
      </c>
      <c r="B175" s="2">
        <v>45342</v>
      </c>
      <c r="C175" t="s">
        <v>218</v>
      </c>
      <c r="D175" t="s">
        <v>202</v>
      </c>
      <c r="E175" t="s">
        <v>202</v>
      </c>
      <c r="F175" t="s">
        <v>202</v>
      </c>
      <c r="G175" t="s">
        <v>202</v>
      </c>
      <c r="H175" t="s">
        <v>202</v>
      </c>
      <c r="I175" t="s">
        <v>202</v>
      </c>
      <c r="J175" t="s">
        <v>202</v>
      </c>
      <c r="K175" t="s">
        <v>202</v>
      </c>
      <c r="L175" t="s">
        <v>202</v>
      </c>
      <c r="M175" t="s">
        <v>202</v>
      </c>
      <c r="N175" t="s">
        <v>202</v>
      </c>
      <c r="O175" t="s">
        <v>192</v>
      </c>
      <c r="P175" t="s">
        <v>336</v>
      </c>
      <c r="R175" s="17"/>
    </row>
    <row r="176" spans="1:19">
      <c r="A176" t="s">
        <v>221</v>
      </c>
      <c r="B176" s="2">
        <v>45348</v>
      </c>
      <c r="C176" t="s">
        <v>218</v>
      </c>
      <c r="D176" t="s">
        <v>202</v>
      </c>
      <c r="E176" t="s">
        <v>202</v>
      </c>
      <c r="F176" t="s">
        <v>202</v>
      </c>
      <c r="G176" t="s">
        <v>202</v>
      </c>
      <c r="H176" t="s">
        <v>202</v>
      </c>
      <c r="I176" t="s">
        <v>192</v>
      </c>
      <c r="J176" t="s">
        <v>202</v>
      </c>
      <c r="K176" t="s">
        <v>202</v>
      </c>
      <c r="L176" s="11" t="s">
        <v>355</v>
      </c>
      <c r="M176" t="s">
        <v>192</v>
      </c>
      <c r="N176" t="s">
        <v>202</v>
      </c>
      <c r="O176" t="s">
        <v>192</v>
      </c>
      <c r="P176" t="s">
        <v>336</v>
      </c>
      <c r="R176" s="17"/>
    </row>
    <row r="177" spans="1:18">
      <c r="A177" t="s">
        <v>261</v>
      </c>
      <c r="B177" s="2">
        <v>45357</v>
      </c>
      <c r="C177" t="s">
        <v>218</v>
      </c>
      <c r="D177" t="s">
        <v>202</v>
      </c>
      <c r="E177" t="s">
        <v>202</v>
      </c>
      <c r="F177" t="s">
        <v>202</v>
      </c>
      <c r="G177" t="s">
        <v>202</v>
      </c>
      <c r="H177" t="s">
        <v>202</v>
      </c>
      <c r="I177" t="s">
        <v>202</v>
      </c>
      <c r="J177" t="s">
        <v>202</v>
      </c>
      <c r="K177" t="s">
        <v>202</v>
      </c>
      <c r="L177" t="s">
        <v>202</v>
      </c>
      <c r="M177" t="s">
        <v>202</v>
      </c>
      <c r="N177" t="s">
        <v>202</v>
      </c>
      <c r="O177" t="s">
        <v>192</v>
      </c>
      <c r="P177" t="s">
        <v>336</v>
      </c>
      <c r="R177" s="17"/>
    </row>
    <row r="178" spans="1:18">
      <c r="A178" t="s">
        <v>356</v>
      </c>
      <c r="B178" s="2">
        <v>45358</v>
      </c>
      <c r="C178" t="s">
        <v>218</v>
      </c>
      <c r="D178" t="s">
        <v>202</v>
      </c>
      <c r="E178" t="s">
        <v>202</v>
      </c>
      <c r="F178" t="s">
        <v>202</v>
      </c>
      <c r="G178" t="s">
        <v>202</v>
      </c>
      <c r="H178" t="s">
        <v>202</v>
      </c>
      <c r="I178" t="s">
        <v>192</v>
      </c>
      <c r="J178" t="s">
        <v>202</v>
      </c>
      <c r="K178" t="s">
        <v>202</v>
      </c>
      <c r="L178" t="s">
        <v>202</v>
      </c>
      <c r="M178" t="s">
        <v>192</v>
      </c>
      <c r="N178" t="s">
        <v>202</v>
      </c>
      <c r="O178" t="s">
        <v>192</v>
      </c>
      <c r="P178" t="s">
        <v>203</v>
      </c>
      <c r="R178" s="17"/>
    </row>
    <row r="179" spans="1:18">
      <c r="A179" t="s">
        <v>447</v>
      </c>
      <c r="B179" s="2">
        <v>45364</v>
      </c>
      <c r="C179" t="s">
        <v>218</v>
      </c>
      <c r="D179" t="s">
        <v>202</v>
      </c>
      <c r="E179" t="s">
        <v>202</v>
      </c>
      <c r="F179" t="s">
        <v>202</v>
      </c>
      <c r="G179" t="s">
        <v>202</v>
      </c>
      <c r="H179" t="s">
        <v>202</v>
      </c>
      <c r="I179" t="s">
        <v>202</v>
      </c>
      <c r="J179" t="s">
        <v>202</v>
      </c>
      <c r="K179" t="s">
        <v>202</v>
      </c>
      <c r="L179" t="s">
        <v>202</v>
      </c>
      <c r="M179" t="s">
        <v>202</v>
      </c>
      <c r="N179" t="s">
        <v>202</v>
      </c>
      <c r="O179" t="s">
        <v>192</v>
      </c>
      <c r="P179" t="s">
        <v>336</v>
      </c>
      <c r="R179" s="17"/>
    </row>
    <row r="180" spans="1:18">
      <c r="A180" t="s">
        <v>463</v>
      </c>
      <c r="B180" s="2">
        <v>45369</v>
      </c>
      <c r="C180" t="s">
        <v>218</v>
      </c>
      <c r="D180" t="s">
        <v>202</v>
      </c>
      <c r="E180" t="s">
        <v>202</v>
      </c>
      <c r="F180" t="s">
        <v>202</v>
      </c>
      <c r="G180" t="s">
        <v>202</v>
      </c>
      <c r="H180" t="s">
        <v>202</v>
      </c>
      <c r="I180" t="s">
        <v>202</v>
      </c>
      <c r="J180" t="s">
        <v>202</v>
      </c>
      <c r="K180" t="s">
        <v>202</v>
      </c>
      <c r="L180" t="s">
        <v>202</v>
      </c>
      <c r="M180" t="s">
        <v>202</v>
      </c>
      <c r="N180" t="s">
        <v>202</v>
      </c>
      <c r="O180" t="s">
        <v>192</v>
      </c>
      <c r="P180" t="s">
        <v>203</v>
      </c>
      <c r="R180" s="17"/>
    </row>
    <row r="181" spans="1:18">
      <c r="A181" t="s">
        <v>390</v>
      </c>
      <c r="B181" s="2">
        <v>45385</v>
      </c>
      <c r="C181" t="s">
        <v>218</v>
      </c>
      <c r="D181" t="s">
        <v>202</v>
      </c>
      <c r="E181" t="s">
        <v>202</v>
      </c>
      <c r="F181" t="s">
        <v>202</v>
      </c>
      <c r="G181" t="s">
        <v>202</v>
      </c>
      <c r="H181" t="s">
        <v>202</v>
      </c>
      <c r="I181" t="s">
        <v>202</v>
      </c>
      <c r="J181" t="s">
        <v>202</v>
      </c>
      <c r="K181" t="s">
        <v>202</v>
      </c>
      <c r="L181" t="s">
        <v>355</v>
      </c>
      <c r="M181" t="s">
        <v>192</v>
      </c>
      <c r="N181" t="s">
        <v>202</v>
      </c>
      <c r="O181" t="s">
        <v>192</v>
      </c>
      <c r="P181" t="s">
        <v>336</v>
      </c>
      <c r="R181" s="17"/>
    </row>
    <row r="182" spans="1:18">
      <c r="A182" t="s">
        <v>361</v>
      </c>
      <c r="B182" s="2">
        <v>45386</v>
      </c>
      <c r="C182" t="s">
        <v>218</v>
      </c>
      <c r="D182" t="s">
        <v>202</v>
      </c>
      <c r="E182" t="s">
        <v>202</v>
      </c>
      <c r="F182" t="s">
        <v>202</v>
      </c>
      <c r="G182" t="s">
        <v>202</v>
      </c>
      <c r="H182" t="s">
        <v>202</v>
      </c>
      <c r="I182" t="s">
        <v>355</v>
      </c>
      <c r="J182" t="s">
        <v>202</v>
      </c>
      <c r="K182" t="s">
        <v>202</v>
      </c>
      <c r="L182" t="s">
        <v>202</v>
      </c>
      <c r="M182" t="s">
        <v>355</v>
      </c>
      <c r="N182" t="s">
        <v>202</v>
      </c>
      <c r="O182" t="s">
        <v>192</v>
      </c>
      <c r="P182" t="s">
        <v>203</v>
      </c>
      <c r="R182" s="17"/>
    </row>
    <row r="183" spans="1:18">
      <c r="A183" t="s">
        <v>333</v>
      </c>
      <c r="B183" s="2">
        <v>45392</v>
      </c>
      <c r="C183" t="s">
        <v>218</v>
      </c>
      <c r="D183" t="s">
        <v>202</v>
      </c>
      <c r="E183" t="s">
        <v>202</v>
      </c>
      <c r="F183" t="s">
        <v>202</v>
      </c>
      <c r="G183" t="s">
        <v>202</v>
      </c>
      <c r="H183" t="s">
        <v>202</v>
      </c>
      <c r="I183" t="s">
        <v>202</v>
      </c>
      <c r="J183" t="s">
        <v>202</v>
      </c>
      <c r="K183" t="s">
        <v>202</v>
      </c>
      <c r="L183" t="s">
        <v>202</v>
      </c>
      <c r="M183" t="s">
        <v>192</v>
      </c>
      <c r="N183" t="s">
        <v>202</v>
      </c>
      <c r="O183" t="s">
        <v>192</v>
      </c>
      <c r="P183" t="s">
        <v>336</v>
      </c>
      <c r="R183" s="17"/>
    </row>
    <row r="184" spans="1:18">
      <c r="A184" t="s">
        <v>465</v>
      </c>
      <c r="B184" s="2">
        <v>45398</v>
      </c>
      <c r="C184" t="s">
        <v>201</v>
      </c>
      <c r="D184" t="s">
        <v>202</v>
      </c>
      <c r="E184" t="s">
        <v>202</v>
      </c>
      <c r="F184" t="s">
        <v>202</v>
      </c>
      <c r="G184" t="s">
        <v>202</v>
      </c>
      <c r="H184" t="s">
        <v>202</v>
      </c>
      <c r="I184" t="s">
        <v>202</v>
      </c>
      <c r="J184" t="s">
        <v>202</v>
      </c>
      <c r="K184" t="s">
        <v>202</v>
      </c>
      <c r="L184" t="s">
        <v>202</v>
      </c>
      <c r="M184" t="s">
        <v>202</v>
      </c>
      <c r="N184" t="s">
        <v>202</v>
      </c>
      <c r="O184" t="s">
        <v>192</v>
      </c>
      <c r="P184" t="s">
        <v>203</v>
      </c>
      <c r="R184" s="17"/>
    </row>
    <row r="185" spans="1:18">
      <c r="A185" t="s">
        <v>461</v>
      </c>
      <c r="B185" s="2">
        <v>45399</v>
      </c>
      <c r="C185" t="s">
        <v>218</v>
      </c>
      <c r="D185" t="s">
        <v>202</v>
      </c>
      <c r="E185" t="s">
        <v>202</v>
      </c>
      <c r="F185" t="s">
        <v>202</v>
      </c>
      <c r="G185" t="s">
        <v>202</v>
      </c>
      <c r="H185" t="s">
        <v>202</v>
      </c>
      <c r="I185" t="s">
        <v>192</v>
      </c>
      <c r="J185" t="s">
        <v>202</v>
      </c>
      <c r="K185" t="s">
        <v>202</v>
      </c>
      <c r="L185" t="s">
        <v>202</v>
      </c>
      <c r="M185" t="s">
        <v>192</v>
      </c>
      <c r="N185" t="s">
        <v>202</v>
      </c>
      <c r="O185" t="s">
        <v>468</v>
      </c>
      <c r="P185" t="s">
        <v>203</v>
      </c>
      <c r="R185" s="17"/>
    </row>
    <row r="186" spans="1:18">
      <c r="A186" t="s">
        <v>466</v>
      </c>
      <c r="B186" s="2">
        <v>45400</v>
      </c>
      <c r="C186" t="s">
        <v>218</v>
      </c>
      <c r="D186" t="s">
        <v>202</v>
      </c>
      <c r="E186" t="s">
        <v>202</v>
      </c>
      <c r="F186" t="s">
        <v>202</v>
      </c>
      <c r="G186" t="s">
        <v>202</v>
      </c>
      <c r="H186" t="s">
        <v>202</v>
      </c>
      <c r="I186" t="s">
        <v>202</v>
      </c>
      <c r="J186" t="s">
        <v>202</v>
      </c>
      <c r="K186" t="s">
        <v>202</v>
      </c>
      <c r="L186" t="s">
        <v>202</v>
      </c>
      <c r="M186" t="s">
        <v>202</v>
      </c>
      <c r="N186" t="s">
        <v>202</v>
      </c>
      <c r="O186" t="s">
        <v>192</v>
      </c>
      <c r="P186" t="s">
        <v>203</v>
      </c>
      <c r="R186" s="17"/>
    </row>
    <row r="187" spans="1:18">
      <c r="A187" t="s">
        <v>261</v>
      </c>
      <c r="B187" s="2">
        <v>45405</v>
      </c>
      <c r="C187" t="s">
        <v>201</v>
      </c>
      <c r="D187" t="s">
        <v>192</v>
      </c>
      <c r="E187" t="s">
        <v>192</v>
      </c>
      <c r="F187" t="s">
        <v>202</v>
      </c>
      <c r="G187" t="s">
        <v>192</v>
      </c>
      <c r="H187" t="s">
        <v>202</v>
      </c>
      <c r="I187" t="s">
        <v>202</v>
      </c>
      <c r="J187" t="s">
        <v>202</v>
      </c>
      <c r="K187" t="s">
        <v>202</v>
      </c>
      <c r="L187" t="s">
        <v>202</v>
      </c>
      <c r="M187" t="s">
        <v>202</v>
      </c>
      <c r="N187" t="s">
        <v>202</v>
      </c>
      <c r="O187" t="s">
        <v>192</v>
      </c>
      <c r="P187" t="s">
        <v>203</v>
      </c>
      <c r="R187" s="17"/>
    </row>
    <row r="188" spans="1:18">
      <c r="A188" t="s">
        <v>262</v>
      </c>
      <c r="B188" s="2">
        <v>45407</v>
      </c>
      <c r="C188" t="s">
        <v>218</v>
      </c>
      <c r="D188" t="s">
        <v>202</v>
      </c>
      <c r="E188" t="s">
        <v>202</v>
      </c>
      <c r="F188" t="s">
        <v>202</v>
      </c>
      <c r="G188" t="s">
        <v>202</v>
      </c>
      <c r="H188" t="s">
        <v>202</v>
      </c>
      <c r="I188" t="s">
        <v>192</v>
      </c>
      <c r="J188" t="s">
        <v>202</v>
      </c>
      <c r="K188" t="s">
        <v>202</v>
      </c>
      <c r="L188" t="s">
        <v>202</v>
      </c>
      <c r="M188" t="s">
        <v>192</v>
      </c>
      <c r="N188" t="s">
        <v>202</v>
      </c>
      <c r="O188" t="s">
        <v>192</v>
      </c>
      <c r="P188" t="s">
        <v>203</v>
      </c>
      <c r="R188" s="17"/>
    </row>
    <row r="189" spans="1:18">
      <c r="A189" t="s">
        <v>411</v>
      </c>
      <c r="B189" s="2">
        <v>45407</v>
      </c>
      <c r="C189" t="s">
        <v>201</v>
      </c>
      <c r="D189" t="s">
        <v>192</v>
      </c>
      <c r="E189" t="s">
        <v>192</v>
      </c>
      <c r="F189" t="s">
        <v>202</v>
      </c>
      <c r="G189" t="s">
        <v>192</v>
      </c>
      <c r="H189" t="s">
        <v>202</v>
      </c>
      <c r="I189" t="s">
        <v>202</v>
      </c>
      <c r="J189" t="s">
        <v>202</v>
      </c>
      <c r="K189" t="s">
        <v>202</v>
      </c>
      <c r="L189" t="s">
        <v>202</v>
      </c>
      <c r="M189" t="s">
        <v>192</v>
      </c>
      <c r="N189" t="s">
        <v>202</v>
      </c>
      <c r="O189" t="s">
        <v>192</v>
      </c>
      <c r="P189" t="s">
        <v>203</v>
      </c>
      <c r="R189" s="17"/>
    </row>
    <row r="190" spans="1:18">
      <c r="A190" t="s">
        <v>423</v>
      </c>
      <c r="B190" s="2">
        <v>45414</v>
      </c>
      <c r="C190" t="s">
        <v>201</v>
      </c>
      <c r="D190" t="s">
        <v>202</v>
      </c>
      <c r="E190" t="s">
        <v>192</v>
      </c>
      <c r="F190" t="s">
        <v>202</v>
      </c>
      <c r="G190" t="s">
        <v>202</v>
      </c>
      <c r="H190" t="s">
        <v>202</v>
      </c>
      <c r="I190" t="s">
        <v>202</v>
      </c>
      <c r="J190" t="s">
        <v>202</v>
      </c>
      <c r="K190" t="s">
        <v>202</v>
      </c>
      <c r="L190" t="s">
        <v>202</v>
      </c>
      <c r="M190" t="s">
        <v>202</v>
      </c>
      <c r="N190" t="s">
        <v>202</v>
      </c>
      <c r="O190" t="s">
        <v>192</v>
      </c>
      <c r="P190" t="s">
        <v>203</v>
      </c>
      <c r="R190" s="17"/>
    </row>
    <row r="191" spans="1:18">
      <c r="A191" t="s">
        <v>472</v>
      </c>
      <c r="B191" s="2">
        <v>45420</v>
      </c>
      <c r="C191" t="s">
        <v>218</v>
      </c>
      <c r="D191" t="s">
        <v>202</v>
      </c>
      <c r="E191" t="s">
        <v>202</v>
      </c>
      <c r="F191" t="s">
        <v>202</v>
      </c>
      <c r="G191" t="s">
        <v>202</v>
      </c>
      <c r="H191" t="s">
        <v>202</v>
      </c>
      <c r="I191" t="s">
        <v>202</v>
      </c>
      <c r="J191" t="s">
        <v>202</v>
      </c>
      <c r="K191" t="s">
        <v>202</v>
      </c>
      <c r="L191" t="s">
        <v>202</v>
      </c>
      <c r="M191" t="s">
        <v>202</v>
      </c>
      <c r="N191" t="s">
        <v>202</v>
      </c>
      <c r="O191" t="s">
        <v>192</v>
      </c>
      <c r="P191" t="s">
        <v>203</v>
      </c>
      <c r="R191" s="17"/>
    </row>
    <row r="192" spans="1:18">
      <c r="A192" t="s">
        <v>335</v>
      </c>
      <c r="B192" s="2">
        <v>45419</v>
      </c>
      <c r="C192" t="s">
        <v>218</v>
      </c>
      <c r="D192" t="s">
        <v>202</v>
      </c>
      <c r="E192" t="s">
        <v>202</v>
      </c>
      <c r="F192" t="s">
        <v>202</v>
      </c>
      <c r="G192" t="s">
        <v>202</v>
      </c>
      <c r="H192" t="s">
        <v>202</v>
      </c>
      <c r="I192" t="s">
        <v>202</v>
      </c>
      <c r="J192" t="s">
        <v>202</v>
      </c>
      <c r="K192" t="s">
        <v>202</v>
      </c>
      <c r="L192" t="s">
        <v>202</v>
      </c>
      <c r="M192" t="s">
        <v>202</v>
      </c>
      <c r="N192" t="s">
        <v>202</v>
      </c>
      <c r="O192" t="s">
        <v>192</v>
      </c>
      <c r="P192" t="s">
        <v>336</v>
      </c>
      <c r="R192" s="17"/>
    </row>
    <row r="193" spans="1:18">
      <c r="A193" t="s">
        <v>365</v>
      </c>
      <c r="B193" s="2">
        <v>45421</v>
      </c>
      <c r="C193" t="s">
        <v>218</v>
      </c>
      <c r="D193" t="s">
        <v>202</v>
      </c>
      <c r="E193" t="s">
        <v>202</v>
      </c>
      <c r="F193" t="s">
        <v>202</v>
      </c>
      <c r="G193" t="s">
        <v>202</v>
      </c>
      <c r="H193" t="s">
        <v>202</v>
      </c>
      <c r="I193" t="s">
        <v>202</v>
      </c>
      <c r="J193" t="s">
        <v>202</v>
      </c>
      <c r="K193" t="s">
        <v>202</v>
      </c>
      <c r="L193" t="s">
        <v>202</v>
      </c>
      <c r="M193" t="s">
        <v>202</v>
      </c>
      <c r="N193" t="s">
        <v>202</v>
      </c>
      <c r="O193" t="s">
        <v>192</v>
      </c>
      <c r="P193" t="s">
        <v>336</v>
      </c>
      <c r="R193" s="17"/>
    </row>
    <row r="194" spans="1:18">
      <c r="A194" t="s">
        <v>445</v>
      </c>
      <c r="B194" s="2">
        <v>45421</v>
      </c>
      <c r="C194" t="s">
        <v>218</v>
      </c>
      <c r="D194" t="s">
        <v>202</v>
      </c>
      <c r="E194" t="s">
        <v>202</v>
      </c>
      <c r="F194" t="s">
        <v>192</v>
      </c>
      <c r="G194" t="s">
        <v>202</v>
      </c>
      <c r="H194" t="s">
        <v>202</v>
      </c>
      <c r="I194" t="s">
        <v>192</v>
      </c>
      <c r="J194" t="s">
        <v>202</v>
      </c>
      <c r="K194" t="s">
        <v>202</v>
      </c>
      <c r="L194" t="s">
        <v>202</v>
      </c>
      <c r="M194" t="s">
        <v>202</v>
      </c>
      <c r="N194" t="s">
        <v>202</v>
      </c>
      <c r="O194" t="s">
        <v>192</v>
      </c>
      <c r="P194" t="s">
        <v>336</v>
      </c>
      <c r="R194" s="17"/>
    </row>
    <row r="195" spans="1:18">
      <c r="A195" t="s">
        <v>471</v>
      </c>
      <c r="B195" s="2">
        <v>45426</v>
      </c>
      <c r="C195" t="s">
        <v>201</v>
      </c>
      <c r="D195" t="s">
        <v>202</v>
      </c>
      <c r="E195" t="s">
        <v>202</v>
      </c>
      <c r="F195" t="s">
        <v>202</v>
      </c>
      <c r="G195" t="s">
        <v>202</v>
      </c>
      <c r="H195" t="s">
        <v>202</v>
      </c>
      <c r="I195" t="s">
        <v>202</v>
      </c>
      <c r="J195" t="s">
        <v>202</v>
      </c>
      <c r="K195" t="s">
        <v>202</v>
      </c>
      <c r="L195" t="s">
        <v>202</v>
      </c>
      <c r="M195" t="s">
        <v>202</v>
      </c>
      <c r="N195" t="s">
        <v>202</v>
      </c>
      <c r="O195" t="s">
        <v>192</v>
      </c>
      <c r="P195" t="s">
        <v>203</v>
      </c>
      <c r="R195" s="17"/>
    </row>
    <row r="196" spans="1:18">
      <c r="A196" t="s">
        <v>458</v>
      </c>
      <c r="B196" s="2">
        <v>45427</v>
      </c>
      <c r="C196" t="s">
        <v>218</v>
      </c>
      <c r="D196" t="s">
        <v>202</v>
      </c>
      <c r="E196" t="s">
        <v>202</v>
      </c>
      <c r="F196" t="s">
        <v>202</v>
      </c>
      <c r="G196" t="s">
        <v>202</v>
      </c>
      <c r="H196" t="s">
        <v>202</v>
      </c>
      <c r="I196" t="s">
        <v>192</v>
      </c>
      <c r="J196" t="s">
        <v>202</v>
      </c>
      <c r="K196" t="s">
        <v>202</v>
      </c>
      <c r="L196" t="s">
        <v>202</v>
      </c>
      <c r="M196" t="s">
        <v>192</v>
      </c>
      <c r="N196" t="s">
        <v>202</v>
      </c>
      <c r="O196" t="s">
        <v>468</v>
      </c>
      <c r="P196" t="s">
        <v>203</v>
      </c>
      <c r="R196" s="17"/>
    </row>
    <row r="197" spans="1:18">
      <c r="A197" t="s">
        <v>325</v>
      </c>
      <c r="B197" s="2">
        <v>45428</v>
      </c>
      <c r="C197" t="s">
        <v>201</v>
      </c>
      <c r="D197" t="s">
        <v>202</v>
      </c>
      <c r="E197" t="s">
        <v>192</v>
      </c>
      <c r="F197" t="s">
        <v>202</v>
      </c>
      <c r="G197" t="s">
        <v>202</v>
      </c>
      <c r="H197" t="s">
        <v>202</v>
      </c>
      <c r="I197" t="s">
        <v>202</v>
      </c>
      <c r="J197" t="s">
        <v>202</v>
      </c>
      <c r="K197" t="s">
        <v>202</v>
      </c>
      <c r="L197" t="s">
        <v>473</v>
      </c>
      <c r="M197" t="s">
        <v>473</v>
      </c>
      <c r="N197" t="s">
        <v>202</v>
      </c>
      <c r="O197" t="s">
        <v>192</v>
      </c>
      <c r="P197" t="s">
        <v>203</v>
      </c>
      <c r="R197" s="17"/>
    </row>
    <row r="198" spans="1:18">
      <c r="A198" t="s">
        <v>447</v>
      </c>
      <c r="B198" s="2">
        <v>45433</v>
      </c>
      <c r="C198" t="s">
        <v>201</v>
      </c>
      <c r="D198" t="s">
        <v>202</v>
      </c>
      <c r="E198" t="s">
        <v>202</v>
      </c>
      <c r="F198" t="s">
        <v>202</v>
      </c>
      <c r="G198" t="s">
        <v>202</v>
      </c>
      <c r="H198" t="s">
        <v>202</v>
      </c>
      <c r="I198" t="s">
        <v>202</v>
      </c>
      <c r="J198" t="s">
        <v>202</v>
      </c>
      <c r="K198" t="s">
        <v>202</v>
      </c>
      <c r="L198" t="s">
        <v>202</v>
      </c>
      <c r="M198" t="s">
        <v>192</v>
      </c>
      <c r="N198" t="s">
        <v>202</v>
      </c>
      <c r="O198" t="s">
        <v>192</v>
      </c>
      <c r="P198" t="s">
        <v>203</v>
      </c>
      <c r="R198" s="17"/>
    </row>
    <row r="199" spans="1:18">
      <c r="A199" t="s">
        <v>422</v>
      </c>
      <c r="B199" s="2">
        <v>45433</v>
      </c>
      <c r="C199" t="s">
        <v>201</v>
      </c>
      <c r="D199" t="s">
        <v>202</v>
      </c>
      <c r="E199" t="s">
        <v>192</v>
      </c>
      <c r="F199" t="s">
        <v>202</v>
      </c>
      <c r="G199" t="s">
        <v>202</v>
      </c>
      <c r="H199" t="s">
        <v>192</v>
      </c>
      <c r="I199" t="s">
        <v>202</v>
      </c>
      <c r="J199" t="s">
        <v>202</v>
      </c>
      <c r="K199" t="s">
        <v>202</v>
      </c>
      <c r="L199" t="s">
        <v>473</v>
      </c>
      <c r="M199" t="s">
        <v>473</v>
      </c>
      <c r="N199" t="s">
        <v>202</v>
      </c>
      <c r="O199" t="s">
        <v>192</v>
      </c>
      <c r="P199" t="s">
        <v>203</v>
      </c>
      <c r="R199" s="17"/>
    </row>
    <row r="200" spans="1:18">
      <c r="A200" t="s">
        <v>389</v>
      </c>
      <c r="B200" s="2">
        <v>45435</v>
      </c>
      <c r="C200" t="s">
        <v>218</v>
      </c>
      <c r="D200" t="s">
        <v>202</v>
      </c>
      <c r="E200" t="s">
        <v>202</v>
      </c>
      <c r="F200" t="s">
        <v>202</v>
      </c>
      <c r="G200" t="s">
        <v>202</v>
      </c>
      <c r="H200" t="s">
        <v>202</v>
      </c>
      <c r="I200" t="s">
        <v>202</v>
      </c>
      <c r="J200" t="s">
        <v>202</v>
      </c>
      <c r="K200" t="s">
        <v>202</v>
      </c>
      <c r="L200" t="s">
        <v>202</v>
      </c>
      <c r="M200" t="s">
        <v>202</v>
      </c>
      <c r="N200" t="s">
        <v>202</v>
      </c>
      <c r="O200" t="s">
        <v>192</v>
      </c>
      <c r="P200" t="s">
        <v>336</v>
      </c>
      <c r="R200" s="17"/>
    </row>
    <row r="201" spans="1:18">
      <c r="A201" t="s">
        <v>446</v>
      </c>
      <c r="B201" s="2">
        <v>45449</v>
      </c>
      <c r="C201" t="s">
        <v>218</v>
      </c>
      <c r="D201" t="s">
        <v>202</v>
      </c>
      <c r="E201" t="s">
        <v>202</v>
      </c>
      <c r="F201" t="s">
        <v>192</v>
      </c>
      <c r="G201" t="s">
        <v>202</v>
      </c>
      <c r="H201" t="s">
        <v>202</v>
      </c>
      <c r="I201" t="s">
        <v>202</v>
      </c>
      <c r="J201" t="s">
        <v>202</v>
      </c>
      <c r="K201" t="s">
        <v>202</v>
      </c>
      <c r="L201" t="s">
        <v>202</v>
      </c>
      <c r="M201" t="s">
        <v>477</v>
      </c>
      <c r="N201" t="s">
        <v>202</v>
      </c>
      <c r="O201" t="s">
        <v>192</v>
      </c>
      <c r="P201" t="s">
        <v>336</v>
      </c>
      <c r="R201" s="17"/>
    </row>
    <row r="202" spans="1:18">
      <c r="A202" t="s">
        <v>460</v>
      </c>
      <c r="B202" s="2">
        <v>45461</v>
      </c>
      <c r="C202" t="s">
        <v>218</v>
      </c>
      <c r="D202" t="s">
        <v>202</v>
      </c>
      <c r="E202" t="s">
        <v>202</v>
      </c>
      <c r="F202" t="s">
        <v>202</v>
      </c>
      <c r="G202" t="s">
        <v>202</v>
      </c>
      <c r="H202" t="s">
        <v>202</v>
      </c>
      <c r="I202" t="s">
        <v>202</v>
      </c>
      <c r="J202" t="s">
        <v>202</v>
      </c>
      <c r="K202" t="s">
        <v>202</v>
      </c>
      <c r="L202" t="s">
        <v>202</v>
      </c>
      <c r="M202" t="s">
        <v>202</v>
      </c>
      <c r="N202" t="s">
        <v>202</v>
      </c>
      <c r="O202" t="s">
        <v>192</v>
      </c>
      <c r="P202" t="s">
        <v>203</v>
      </c>
      <c r="R202" s="17"/>
    </row>
    <row r="203" spans="1:18">
      <c r="A203" t="s">
        <v>369</v>
      </c>
      <c r="C203" s="33" t="s">
        <v>277</v>
      </c>
      <c r="D203" s="33" t="s">
        <v>277</v>
      </c>
      <c r="E203" s="33" t="s">
        <v>277</v>
      </c>
      <c r="F203" s="33" t="s">
        <v>277</v>
      </c>
      <c r="G203" s="33" t="s">
        <v>277</v>
      </c>
      <c r="H203" s="33" t="s">
        <v>277</v>
      </c>
      <c r="I203" s="33" t="s">
        <v>277</v>
      </c>
      <c r="J203" s="33" t="s">
        <v>277</v>
      </c>
      <c r="K203" s="33" t="s">
        <v>277</v>
      </c>
      <c r="L203" s="33" t="s">
        <v>277</v>
      </c>
      <c r="M203" s="33" t="s">
        <v>277</v>
      </c>
      <c r="N203" s="33" t="s">
        <v>277</v>
      </c>
      <c r="O203" s="33" t="s">
        <v>277</v>
      </c>
      <c r="P203" s="33" t="s">
        <v>277</v>
      </c>
      <c r="R203" s="17"/>
    </row>
    <row r="204" spans="1:18">
      <c r="A204" t="s">
        <v>212</v>
      </c>
      <c r="B204" s="2">
        <v>45422</v>
      </c>
      <c r="C204" t="s">
        <v>201</v>
      </c>
      <c r="D204" t="s">
        <v>192</v>
      </c>
      <c r="E204" t="s">
        <v>192</v>
      </c>
      <c r="F204" t="s">
        <v>202</v>
      </c>
      <c r="G204" t="s">
        <v>192</v>
      </c>
      <c r="H204" t="s">
        <v>202</v>
      </c>
      <c r="I204" t="s">
        <v>202</v>
      </c>
      <c r="J204" t="s">
        <v>202</v>
      </c>
      <c r="K204" t="s">
        <v>202</v>
      </c>
      <c r="L204" t="s">
        <v>202</v>
      </c>
      <c r="M204" t="s">
        <v>202</v>
      </c>
      <c r="N204" t="s">
        <v>202</v>
      </c>
      <c r="O204" t="s">
        <v>192</v>
      </c>
      <c r="P204" t="s">
        <v>203</v>
      </c>
      <c r="R204" s="17"/>
    </row>
    <row r="205" spans="1:18">
      <c r="A205" t="s">
        <v>351</v>
      </c>
      <c r="B205" s="2">
        <v>45448</v>
      </c>
      <c r="C205" t="s">
        <v>201</v>
      </c>
      <c r="D205" t="s">
        <v>202</v>
      </c>
      <c r="E205" t="s">
        <v>192</v>
      </c>
      <c r="F205" t="s">
        <v>202</v>
      </c>
      <c r="G205" t="s">
        <v>202</v>
      </c>
      <c r="H205" t="s">
        <v>202</v>
      </c>
      <c r="I205" t="s">
        <v>192</v>
      </c>
      <c r="J205" t="s">
        <v>202</v>
      </c>
      <c r="K205" t="s">
        <v>202</v>
      </c>
      <c r="L205" t="s">
        <v>202</v>
      </c>
      <c r="M205" t="s">
        <v>192</v>
      </c>
      <c r="N205" t="s">
        <v>202</v>
      </c>
      <c r="O205" t="s">
        <v>192</v>
      </c>
      <c r="P205" t="s">
        <v>203</v>
      </c>
      <c r="R205" s="17"/>
    </row>
    <row r="206" spans="1:18">
      <c r="A206" t="s">
        <v>413</v>
      </c>
      <c r="B206" s="2">
        <v>45454</v>
      </c>
      <c r="C206" t="s">
        <v>218</v>
      </c>
      <c r="D206" t="s">
        <v>202</v>
      </c>
      <c r="E206" t="s">
        <v>202</v>
      </c>
      <c r="F206" t="s">
        <v>202</v>
      </c>
      <c r="G206" t="s">
        <v>202</v>
      </c>
      <c r="H206" t="s">
        <v>202</v>
      </c>
      <c r="I206" t="s">
        <v>202</v>
      </c>
      <c r="J206" t="s">
        <v>202</v>
      </c>
      <c r="K206" t="s">
        <v>202</v>
      </c>
      <c r="L206" t="s">
        <v>202</v>
      </c>
      <c r="M206" t="s">
        <v>192</v>
      </c>
      <c r="N206" t="s">
        <v>202</v>
      </c>
      <c r="O206" t="s">
        <v>192</v>
      </c>
      <c r="P206" t="s">
        <v>203</v>
      </c>
      <c r="R206" s="17"/>
    </row>
    <row r="207" spans="1:18">
      <c r="A207" t="s">
        <v>463</v>
      </c>
      <c r="B207" s="2">
        <v>45502</v>
      </c>
      <c r="C207" t="s">
        <v>201</v>
      </c>
      <c r="D207" t="s">
        <v>192</v>
      </c>
      <c r="E207" t="s">
        <v>192</v>
      </c>
      <c r="F207" t="s">
        <v>202</v>
      </c>
      <c r="G207" t="s">
        <v>202</v>
      </c>
      <c r="H207" t="s">
        <v>202</v>
      </c>
      <c r="I207" t="s">
        <v>202</v>
      </c>
      <c r="J207" t="s">
        <v>202</v>
      </c>
      <c r="K207" t="s">
        <v>202</v>
      </c>
      <c r="L207" t="s">
        <v>202</v>
      </c>
      <c r="M207" t="s">
        <v>192</v>
      </c>
      <c r="N207" t="s">
        <v>202</v>
      </c>
      <c r="O207" t="s">
        <v>192</v>
      </c>
      <c r="P207" t="s">
        <v>203</v>
      </c>
      <c r="R207" s="17"/>
    </row>
    <row r="208" spans="1:18">
      <c r="A208" t="s">
        <v>460</v>
      </c>
      <c r="B208" s="2">
        <v>45511</v>
      </c>
      <c r="C208" t="s">
        <v>201</v>
      </c>
      <c r="D208" t="s">
        <v>192</v>
      </c>
      <c r="E208" t="s">
        <v>192</v>
      </c>
      <c r="F208" t="s">
        <v>202</v>
      </c>
      <c r="G208" t="s">
        <v>202</v>
      </c>
      <c r="H208" t="s">
        <v>202</v>
      </c>
      <c r="I208" t="s">
        <v>202</v>
      </c>
      <c r="J208" t="s">
        <v>202</v>
      </c>
      <c r="K208" t="s">
        <v>202</v>
      </c>
      <c r="L208" t="s">
        <v>202</v>
      </c>
      <c r="M208" t="s">
        <v>202</v>
      </c>
      <c r="N208" t="s">
        <v>202</v>
      </c>
      <c r="O208" t="s">
        <v>192</v>
      </c>
      <c r="P208" t="s">
        <v>203</v>
      </c>
      <c r="R208" s="17"/>
    </row>
    <row r="209" spans="1:1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</row>
    <row r="210" spans="1:19">
      <c r="A210" t="s">
        <v>412</v>
      </c>
      <c r="B210" s="2">
        <v>45559</v>
      </c>
      <c r="C210" t="s">
        <v>218</v>
      </c>
      <c r="D210" t="s">
        <v>202</v>
      </c>
      <c r="E210" t="s">
        <v>202</v>
      </c>
      <c r="F210" t="s">
        <v>202</v>
      </c>
      <c r="G210" t="s">
        <v>202</v>
      </c>
      <c r="H210" t="s">
        <v>202</v>
      </c>
      <c r="I210" t="s">
        <v>192</v>
      </c>
      <c r="J210" t="s">
        <v>202</v>
      </c>
      <c r="K210" t="s">
        <v>202</v>
      </c>
      <c r="L210" t="s">
        <v>202</v>
      </c>
      <c r="M210" t="s">
        <v>192</v>
      </c>
      <c r="N210" t="s">
        <v>202</v>
      </c>
      <c r="O210" t="s">
        <v>192</v>
      </c>
      <c r="P210" t="s">
        <v>203</v>
      </c>
      <c r="R210" s="17"/>
    </row>
    <row r="211" spans="1:19">
      <c r="A211" t="s">
        <v>367</v>
      </c>
      <c r="B211" s="2">
        <v>45560</v>
      </c>
      <c r="C211" t="s">
        <v>218</v>
      </c>
      <c r="D211" t="s">
        <v>202</v>
      </c>
      <c r="E211" t="s">
        <v>202</v>
      </c>
      <c r="F211" t="s">
        <v>202</v>
      </c>
      <c r="G211" t="s">
        <v>202</v>
      </c>
      <c r="H211" t="s">
        <v>202</v>
      </c>
      <c r="I211" t="s">
        <v>192</v>
      </c>
      <c r="J211" t="s">
        <v>202</v>
      </c>
      <c r="K211" t="s">
        <v>202</v>
      </c>
      <c r="L211" t="s">
        <v>202</v>
      </c>
      <c r="M211" t="s">
        <v>192</v>
      </c>
      <c r="N211" t="s">
        <v>202</v>
      </c>
      <c r="O211" t="s">
        <v>468</v>
      </c>
      <c r="P211" t="s">
        <v>336</v>
      </c>
      <c r="R211" s="17"/>
    </row>
    <row r="212" spans="1:19">
      <c r="A212" t="s">
        <v>454</v>
      </c>
      <c r="B212" s="2">
        <v>45561</v>
      </c>
      <c r="C212" t="s">
        <v>218</v>
      </c>
      <c r="D212" t="s">
        <v>202</v>
      </c>
      <c r="E212" t="s">
        <v>202</v>
      </c>
      <c r="F212" t="s">
        <v>202</v>
      </c>
      <c r="G212" t="s">
        <v>202</v>
      </c>
      <c r="H212" t="s">
        <v>202</v>
      </c>
      <c r="I212" t="s">
        <v>192</v>
      </c>
      <c r="J212" t="s">
        <v>202</v>
      </c>
      <c r="K212" t="s">
        <v>202</v>
      </c>
      <c r="L212" t="s">
        <v>202</v>
      </c>
      <c r="M212" t="s">
        <v>355</v>
      </c>
      <c r="N212" t="s">
        <v>202</v>
      </c>
      <c r="O212" t="s">
        <v>192</v>
      </c>
      <c r="P212" t="s">
        <v>203</v>
      </c>
      <c r="R212" s="17"/>
    </row>
    <row r="213" spans="1:19">
      <c r="A213" t="s">
        <v>323</v>
      </c>
      <c r="B213" s="2">
        <v>45560</v>
      </c>
      <c r="C213" t="s">
        <v>218</v>
      </c>
      <c r="D213" t="s">
        <v>202</v>
      </c>
      <c r="E213" t="s">
        <v>202</v>
      </c>
      <c r="F213" t="s">
        <v>202</v>
      </c>
      <c r="G213" t="s">
        <v>202</v>
      </c>
      <c r="H213" t="s">
        <v>202</v>
      </c>
      <c r="I213" t="s">
        <v>355</v>
      </c>
      <c r="J213" t="s">
        <v>202</v>
      </c>
      <c r="K213" t="s">
        <v>202</v>
      </c>
      <c r="L213" t="s">
        <v>202</v>
      </c>
      <c r="M213" t="s">
        <v>355</v>
      </c>
      <c r="N213" t="s">
        <v>202</v>
      </c>
      <c r="O213" t="s">
        <v>192</v>
      </c>
      <c r="P213" t="s">
        <v>203</v>
      </c>
      <c r="R213" s="17"/>
    </row>
    <row r="214" spans="1:19">
      <c r="A214" t="s">
        <v>474</v>
      </c>
      <c r="B214" s="2">
        <v>45562</v>
      </c>
      <c r="C214" t="s">
        <v>201</v>
      </c>
      <c r="D214" t="s">
        <v>202</v>
      </c>
      <c r="E214" t="s">
        <v>192</v>
      </c>
      <c r="F214" t="s">
        <v>202</v>
      </c>
      <c r="G214" t="s">
        <v>202</v>
      </c>
      <c r="H214" t="s">
        <v>202</v>
      </c>
      <c r="I214" t="s">
        <v>355</v>
      </c>
      <c r="J214" t="s">
        <v>202</v>
      </c>
      <c r="K214" t="s">
        <v>202</v>
      </c>
      <c r="L214" t="s">
        <v>483</v>
      </c>
      <c r="M214" t="s">
        <v>192</v>
      </c>
      <c r="N214" t="s">
        <v>202</v>
      </c>
      <c r="O214" t="s">
        <v>192</v>
      </c>
      <c r="P214" t="s">
        <v>203</v>
      </c>
      <c r="R214" s="17"/>
    </row>
    <row r="215" spans="1:19">
      <c r="A215" t="s">
        <v>328</v>
      </c>
      <c r="B215" s="2">
        <v>45565</v>
      </c>
      <c r="C215" t="s">
        <v>218</v>
      </c>
      <c r="D215" t="s">
        <v>202</v>
      </c>
      <c r="E215" t="s">
        <v>202</v>
      </c>
      <c r="F215" t="s">
        <v>202</v>
      </c>
      <c r="G215" t="s">
        <v>202</v>
      </c>
      <c r="H215" t="s">
        <v>202</v>
      </c>
      <c r="I215" t="s">
        <v>355</v>
      </c>
      <c r="J215" t="s">
        <v>202</v>
      </c>
      <c r="K215" t="s">
        <v>202</v>
      </c>
      <c r="L215" t="s">
        <v>202</v>
      </c>
      <c r="M215" t="s">
        <v>355</v>
      </c>
      <c r="N215" t="s">
        <v>202</v>
      </c>
      <c r="O215" t="s">
        <v>192</v>
      </c>
      <c r="P215" t="s">
        <v>336</v>
      </c>
      <c r="R215" s="17"/>
    </row>
    <row r="216" spans="1:19">
      <c r="A216" t="s">
        <v>356</v>
      </c>
      <c r="B216" s="2">
        <v>45565</v>
      </c>
      <c r="C216" t="s">
        <v>201</v>
      </c>
      <c r="D216" t="s">
        <v>202</v>
      </c>
      <c r="E216" t="s">
        <v>192</v>
      </c>
      <c r="F216" t="s">
        <v>202</v>
      </c>
      <c r="G216" t="s">
        <v>202</v>
      </c>
      <c r="H216" t="s">
        <v>202</v>
      </c>
      <c r="I216" t="s">
        <v>192</v>
      </c>
      <c r="J216" t="s">
        <v>202</v>
      </c>
      <c r="K216" t="s">
        <v>202</v>
      </c>
      <c r="L216" t="s">
        <v>202</v>
      </c>
      <c r="M216" t="s">
        <v>355</v>
      </c>
      <c r="N216" t="s">
        <v>202</v>
      </c>
      <c r="O216" t="s">
        <v>192</v>
      </c>
      <c r="P216" t="s">
        <v>203</v>
      </c>
      <c r="R216" s="17"/>
    </row>
    <row r="217" spans="1:19">
      <c r="A217" t="s">
        <v>459</v>
      </c>
      <c r="B217" s="2">
        <v>45568</v>
      </c>
      <c r="C217" t="s">
        <v>218</v>
      </c>
      <c r="D217" t="s">
        <v>202</v>
      </c>
      <c r="E217" t="s">
        <v>202</v>
      </c>
      <c r="F217" t="s">
        <v>202</v>
      </c>
      <c r="G217" t="s">
        <v>202</v>
      </c>
      <c r="H217" t="s">
        <v>202</v>
      </c>
      <c r="I217" t="s">
        <v>192</v>
      </c>
      <c r="J217" t="s">
        <v>202</v>
      </c>
      <c r="K217" t="s">
        <v>202</v>
      </c>
      <c r="L217" t="s">
        <v>202</v>
      </c>
      <c r="M217" t="s">
        <v>192</v>
      </c>
      <c r="N217" t="s">
        <v>202</v>
      </c>
      <c r="O217" t="s">
        <v>192</v>
      </c>
      <c r="P217" t="s">
        <v>203</v>
      </c>
      <c r="R217" s="17"/>
    </row>
    <row r="218" spans="1:19">
      <c r="A218" t="s">
        <v>226</v>
      </c>
      <c r="B218" s="2">
        <v>45573</v>
      </c>
      <c r="C218" t="s">
        <v>218</v>
      </c>
      <c r="D218" t="s">
        <v>202</v>
      </c>
      <c r="E218" t="s">
        <v>202</v>
      </c>
      <c r="F218" t="s">
        <v>202</v>
      </c>
      <c r="G218" t="s">
        <v>202</v>
      </c>
      <c r="H218" t="s">
        <v>202</v>
      </c>
      <c r="I218" t="s">
        <v>355</v>
      </c>
      <c r="J218" t="s">
        <v>202</v>
      </c>
      <c r="K218" t="s">
        <v>202</v>
      </c>
      <c r="L218" t="s">
        <v>202</v>
      </c>
      <c r="M218" t="s">
        <v>355</v>
      </c>
      <c r="N218" t="s">
        <v>202</v>
      </c>
      <c r="O218" t="s">
        <v>192</v>
      </c>
      <c r="P218" t="s">
        <v>203</v>
      </c>
      <c r="R218" s="17"/>
    </row>
    <row r="219" spans="1:19">
      <c r="A219" t="s">
        <v>216</v>
      </c>
      <c r="B219" s="2">
        <v>45582</v>
      </c>
      <c r="C219" t="s">
        <v>201</v>
      </c>
      <c r="D219" t="s">
        <v>202</v>
      </c>
      <c r="E219" t="s">
        <v>192</v>
      </c>
      <c r="F219" t="s">
        <v>202</v>
      </c>
      <c r="G219" t="s">
        <v>202</v>
      </c>
      <c r="H219" t="s">
        <v>202</v>
      </c>
      <c r="I219" t="s">
        <v>202</v>
      </c>
      <c r="J219" t="s">
        <v>202</v>
      </c>
      <c r="K219" t="s">
        <v>202</v>
      </c>
      <c r="L219" t="s">
        <v>202</v>
      </c>
      <c r="M219" t="s">
        <v>479</v>
      </c>
      <c r="N219" t="s">
        <v>202</v>
      </c>
      <c r="O219" t="s">
        <v>192</v>
      </c>
      <c r="P219" t="s">
        <v>203</v>
      </c>
      <c r="R219" s="17"/>
    </row>
    <row r="220" spans="1:19">
      <c r="A220" t="s">
        <v>212</v>
      </c>
      <c r="B220" s="2">
        <v>45575</v>
      </c>
      <c r="C220" t="s">
        <v>218</v>
      </c>
      <c r="D220" t="s">
        <v>202</v>
      </c>
      <c r="E220" t="s">
        <v>202</v>
      </c>
      <c r="F220" t="s">
        <v>202</v>
      </c>
      <c r="G220" t="s">
        <v>202</v>
      </c>
      <c r="H220" t="s">
        <v>202</v>
      </c>
      <c r="I220" t="s">
        <v>202</v>
      </c>
      <c r="J220" t="s">
        <v>202</v>
      </c>
      <c r="K220" t="s">
        <v>202</v>
      </c>
      <c r="L220" t="s">
        <v>202</v>
      </c>
      <c r="M220" t="s">
        <v>202</v>
      </c>
      <c r="N220" t="s">
        <v>202</v>
      </c>
      <c r="O220" t="s">
        <v>192</v>
      </c>
      <c r="P220" t="s">
        <v>336</v>
      </c>
      <c r="R220" s="17"/>
    </row>
    <row r="221" spans="1:19">
      <c r="A221" t="s">
        <v>411</v>
      </c>
      <c r="B221" s="2">
        <v>45579</v>
      </c>
      <c r="C221" t="s">
        <v>218</v>
      </c>
      <c r="D221" t="s">
        <v>202</v>
      </c>
      <c r="E221" t="s">
        <v>202</v>
      </c>
      <c r="F221" t="s">
        <v>202</v>
      </c>
      <c r="G221" t="s">
        <v>202</v>
      </c>
      <c r="H221" t="s">
        <v>202</v>
      </c>
      <c r="I221" t="s">
        <v>202</v>
      </c>
      <c r="J221" t="s">
        <v>202</v>
      </c>
      <c r="K221" t="s">
        <v>202</v>
      </c>
      <c r="L221" t="s">
        <v>202</v>
      </c>
      <c r="M221" t="s">
        <v>202</v>
      </c>
      <c r="N221" t="s">
        <v>202</v>
      </c>
      <c r="O221" t="s">
        <v>192</v>
      </c>
      <c r="P221" t="s">
        <v>203</v>
      </c>
      <c r="R221" s="17"/>
    </row>
    <row r="222" spans="1:19">
      <c r="A222" t="s">
        <v>464</v>
      </c>
      <c r="B222" s="2">
        <v>45583</v>
      </c>
      <c r="C222" t="s">
        <v>218</v>
      </c>
      <c r="D222" t="s">
        <v>202</v>
      </c>
      <c r="E222" t="s">
        <v>202</v>
      </c>
      <c r="F222" t="s">
        <v>202</v>
      </c>
      <c r="G222" t="s">
        <v>202</v>
      </c>
      <c r="H222" t="s">
        <v>202</v>
      </c>
      <c r="I222" t="s">
        <v>192</v>
      </c>
      <c r="J222" t="s">
        <v>202</v>
      </c>
      <c r="K222" t="s">
        <v>202</v>
      </c>
      <c r="L222" t="s">
        <v>202</v>
      </c>
      <c r="M222" t="s">
        <v>192</v>
      </c>
      <c r="N222" t="s">
        <v>202</v>
      </c>
      <c r="O222" t="s">
        <v>192</v>
      </c>
      <c r="P222" t="s">
        <v>203</v>
      </c>
      <c r="R222" s="17"/>
    </row>
    <row r="223" spans="1:19">
      <c r="A223" t="s">
        <v>408</v>
      </c>
      <c r="B223" s="2">
        <v>45586</v>
      </c>
      <c r="C223" t="s">
        <v>218</v>
      </c>
      <c r="D223" t="s">
        <v>202</v>
      </c>
      <c r="E223" t="s">
        <v>202</v>
      </c>
      <c r="F223" t="s">
        <v>202</v>
      </c>
      <c r="G223" t="s">
        <v>202</v>
      </c>
      <c r="H223" t="s">
        <v>202</v>
      </c>
      <c r="I223" t="s">
        <v>202</v>
      </c>
      <c r="J223" t="s">
        <v>202</v>
      </c>
      <c r="K223" t="s">
        <v>202</v>
      </c>
      <c r="L223" t="s">
        <v>202</v>
      </c>
      <c r="M223" t="s">
        <v>202</v>
      </c>
      <c r="N223" t="s">
        <v>202</v>
      </c>
      <c r="O223" t="s">
        <v>192</v>
      </c>
      <c r="P223" t="s">
        <v>203</v>
      </c>
      <c r="R223" s="17"/>
    </row>
    <row r="224" spans="1:19">
      <c r="A224" t="s">
        <v>475</v>
      </c>
      <c r="B224" s="2">
        <v>45610</v>
      </c>
      <c r="C224" t="s">
        <v>201</v>
      </c>
      <c r="D224" t="s">
        <v>202</v>
      </c>
      <c r="E224" t="s">
        <v>192</v>
      </c>
      <c r="F224" t="s">
        <v>202</v>
      </c>
      <c r="G224" t="s">
        <v>202</v>
      </c>
      <c r="H224" t="s">
        <v>202</v>
      </c>
      <c r="I224" t="s">
        <v>192</v>
      </c>
      <c r="J224" t="s">
        <v>202</v>
      </c>
      <c r="K224" t="s">
        <v>202</v>
      </c>
      <c r="L224" t="s">
        <v>202</v>
      </c>
      <c r="M224" t="s">
        <v>192</v>
      </c>
      <c r="N224" t="s">
        <v>202</v>
      </c>
      <c r="O224" t="s">
        <v>192</v>
      </c>
      <c r="P224" t="s">
        <v>203</v>
      </c>
      <c r="R224" s="17"/>
    </row>
    <row r="225" spans="1:19">
      <c r="A225" t="s">
        <v>471</v>
      </c>
      <c r="B225" s="2">
        <v>45624</v>
      </c>
      <c r="C225" t="s">
        <v>218</v>
      </c>
      <c r="D225" t="s">
        <v>202</v>
      </c>
      <c r="E225" t="s">
        <v>202</v>
      </c>
      <c r="F225" t="s">
        <v>202</v>
      </c>
      <c r="G225" t="s">
        <v>202</v>
      </c>
      <c r="H225" t="s">
        <v>202</v>
      </c>
      <c r="I225" t="s">
        <v>202</v>
      </c>
      <c r="J225" t="s">
        <v>202</v>
      </c>
      <c r="K225" t="s">
        <v>202</v>
      </c>
      <c r="L225" t="s">
        <v>202</v>
      </c>
      <c r="M225" t="s">
        <v>202</v>
      </c>
      <c r="N225" t="s">
        <v>202</v>
      </c>
      <c r="O225" t="s">
        <v>192</v>
      </c>
      <c r="P225" t="s">
        <v>203</v>
      </c>
      <c r="R225" s="17"/>
    </row>
    <row r="226" spans="1:19">
      <c r="A226" t="s">
        <v>335</v>
      </c>
      <c r="B226" s="2">
        <v>45621</v>
      </c>
      <c r="C226" t="s">
        <v>201</v>
      </c>
      <c r="D226" t="s">
        <v>202</v>
      </c>
      <c r="E226" t="s">
        <v>202</v>
      </c>
      <c r="F226" t="s">
        <v>202</v>
      </c>
      <c r="G226" t="s">
        <v>202</v>
      </c>
      <c r="H226" t="s">
        <v>202</v>
      </c>
      <c r="I226" t="s">
        <v>202</v>
      </c>
      <c r="J226" t="s">
        <v>202</v>
      </c>
      <c r="K226" t="s">
        <v>202</v>
      </c>
      <c r="L226" t="s">
        <v>202</v>
      </c>
      <c r="M226" t="s">
        <v>202</v>
      </c>
      <c r="N226" t="s">
        <v>202</v>
      </c>
      <c r="O226" t="s">
        <v>192</v>
      </c>
      <c r="P226" t="s">
        <v>336</v>
      </c>
      <c r="R226" s="17"/>
    </row>
    <row r="227" spans="1:19">
      <c r="A227" t="s">
        <v>476</v>
      </c>
      <c r="B227" s="2">
        <v>45623</v>
      </c>
      <c r="C227" t="s">
        <v>218</v>
      </c>
      <c r="D227" t="s">
        <v>202</v>
      </c>
      <c r="E227" t="s">
        <v>202</v>
      </c>
      <c r="F227" t="s">
        <v>202</v>
      </c>
      <c r="G227" t="s">
        <v>202</v>
      </c>
      <c r="H227" t="s">
        <v>202</v>
      </c>
      <c r="I227" t="s">
        <v>202</v>
      </c>
      <c r="J227" t="s">
        <v>202</v>
      </c>
      <c r="K227" t="s">
        <v>202</v>
      </c>
      <c r="L227" t="s">
        <v>202</v>
      </c>
      <c r="M227" t="s">
        <v>202</v>
      </c>
      <c r="N227" t="s">
        <v>202</v>
      </c>
      <c r="O227" t="s">
        <v>192</v>
      </c>
      <c r="P227" t="s">
        <v>336</v>
      </c>
      <c r="R227" s="17"/>
    </row>
    <row r="228" spans="1:19">
      <c r="A228" t="s">
        <v>478</v>
      </c>
      <c r="B228" s="2">
        <v>45562</v>
      </c>
      <c r="C228" t="s">
        <v>201</v>
      </c>
      <c r="D228" t="s">
        <v>202</v>
      </c>
      <c r="E228" t="s">
        <v>202</v>
      </c>
      <c r="F228" t="s">
        <v>202</v>
      </c>
      <c r="G228" t="s">
        <v>202</v>
      </c>
      <c r="H228" t="s">
        <v>202</v>
      </c>
      <c r="I228" t="s">
        <v>192</v>
      </c>
      <c r="J228" t="s">
        <v>202</v>
      </c>
      <c r="K228" t="s">
        <v>202</v>
      </c>
      <c r="L228" t="s">
        <v>202</v>
      </c>
      <c r="M228" t="s">
        <v>192</v>
      </c>
      <c r="N228" t="s">
        <v>202</v>
      </c>
      <c r="O228" t="s">
        <v>202</v>
      </c>
      <c r="P228" t="s">
        <v>203</v>
      </c>
      <c r="R228" s="17"/>
    </row>
    <row r="229" spans="1:19">
      <c r="A229" t="s">
        <v>324</v>
      </c>
      <c r="B229" s="2">
        <v>45614</v>
      </c>
      <c r="C229" t="s">
        <v>218</v>
      </c>
      <c r="D229" t="s">
        <v>202</v>
      </c>
      <c r="E229" t="s">
        <v>202</v>
      </c>
      <c r="F229" t="s">
        <v>192</v>
      </c>
      <c r="G229" t="s">
        <v>202</v>
      </c>
      <c r="H229" t="s">
        <v>202</v>
      </c>
      <c r="I229" t="s">
        <v>192</v>
      </c>
      <c r="J229" t="s">
        <v>202</v>
      </c>
      <c r="K229" t="s">
        <v>202</v>
      </c>
      <c r="L229" t="s">
        <v>202</v>
      </c>
      <c r="M229" t="s">
        <v>355</v>
      </c>
      <c r="N229" t="s">
        <v>202</v>
      </c>
      <c r="O229" t="s">
        <v>192</v>
      </c>
      <c r="P229" t="s">
        <v>203</v>
      </c>
      <c r="R229" s="17"/>
    </row>
    <row r="230" spans="1:19">
      <c r="A230" t="s">
        <v>423</v>
      </c>
      <c r="B230" s="2">
        <v>45614</v>
      </c>
      <c r="C230" t="s">
        <v>218</v>
      </c>
      <c r="D230" t="s">
        <v>202</v>
      </c>
      <c r="E230" t="s">
        <v>202</v>
      </c>
      <c r="F230" t="s">
        <v>202</v>
      </c>
      <c r="G230" t="s">
        <v>202</v>
      </c>
      <c r="H230" t="s">
        <v>202</v>
      </c>
      <c r="I230" t="s">
        <v>202</v>
      </c>
      <c r="J230" t="s">
        <v>202</v>
      </c>
      <c r="K230" t="s">
        <v>202</v>
      </c>
      <c r="L230" t="s">
        <v>202</v>
      </c>
      <c r="M230" t="s">
        <v>202</v>
      </c>
      <c r="N230" t="s">
        <v>202</v>
      </c>
      <c r="O230" t="s">
        <v>468</v>
      </c>
      <c r="P230" t="s">
        <v>336</v>
      </c>
      <c r="R230" s="17"/>
    </row>
    <row r="231" spans="1:19">
      <c r="A231" t="s">
        <v>465</v>
      </c>
      <c r="B231" s="2">
        <v>45616</v>
      </c>
      <c r="C231" t="s">
        <v>218</v>
      </c>
      <c r="D231" t="s">
        <v>202</v>
      </c>
      <c r="E231" t="s">
        <v>202</v>
      </c>
      <c r="F231" t="s">
        <v>202</v>
      </c>
      <c r="G231" t="s">
        <v>202</v>
      </c>
      <c r="H231" t="s">
        <v>202</v>
      </c>
      <c r="I231" t="s">
        <v>202</v>
      </c>
      <c r="J231" t="s">
        <v>202</v>
      </c>
      <c r="K231" t="s">
        <v>202</v>
      </c>
      <c r="L231" t="s">
        <v>202</v>
      </c>
      <c r="M231" t="s">
        <v>202</v>
      </c>
      <c r="N231" t="s">
        <v>202</v>
      </c>
      <c r="O231" t="s">
        <v>192</v>
      </c>
      <c r="P231" t="s">
        <v>336</v>
      </c>
      <c r="R231" s="17"/>
    </row>
    <row r="232" spans="1:19">
      <c r="A232" t="s">
        <v>234</v>
      </c>
      <c r="B232" s="2">
        <v>45617</v>
      </c>
      <c r="C232" t="s">
        <v>218</v>
      </c>
      <c r="D232" t="s">
        <v>202</v>
      </c>
      <c r="E232" t="s">
        <v>202</v>
      </c>
      <c r="F232" t="s">
        <v>202</v>
      </c>
      <c r="G232" t="s">
        <v>202</v>
      </c>
      <c r="H232" t="s">
        <v>202</v>
      </c>
      <c r="I232" t="s">
        <v>202</v>
      </c>
      <c r="J232" t="s">
        <v>202</v>
      </c>
      <c r="K232" t="s">
        <v>202</v>
      </c>
      <c r="L232" t="s">
        <v>202</v>
      </c>
      <c r="M232" t="s">
        <v>202</v>
      </c>
      <c r="N232" t="s">
        <v>202</v>
      </c>
      <c r="O232" t="s">
        <v>192</v>
      </c>
      <c r="P232" t="s">
        <v>203</v>
      </c>
      <c r="R232" s="17"/>
    </row>
    <row r="233" spans="1:19">
      <c r="A233" t="s">
        <v>212</v>
      </c>
      <c r="B233" s="2">
        <v>45637</v>
      </c>
      <c r="C233" t="s">
        <v>201</v>
      </c>
      <c r="D233" t="s">
        <v>202</v>
      </c>
      <c r="E233" t="s">
        <v>202</v>
      </c>
      <c r="F233" t="s">
        <v>202</v>
      </c>
      <c r="G233" t="s">
        <v>202</v>
      </c>
      <c r="H233" t="s">
        <v>202</v>
      </c>
      <c r="I233" t="s">
        <v>202</v>
      </c>
      <c r="J233" t="s">
        <v>202</v>
      </c>
      <c r="K233" t="s">
        <v>202</v>
      </c>
      <c r="L233" t="s">
        <v>202</v>
      </c>
      <c r="M233" t="s">
        <v>202</v>
      </c>
      <c r="N233" t="s">
        <v>192</v>
      </c>
      <c r="O233" t="s">
        <v>192</v>
      </c>
      <c r="P233" t="s">
        <v>203</v>
      </c>
      <c r="R233" s="17"/>
    </row>
    <row r="234" spans="1:19">
      <c r="A234" t="s">
        <v>215</v>
      </c>
      <c r="B234" s="2">
        <v>45638</v>
      </c>
      <c r="C234" t="s">
        <v>218</v>
      </c>
      <c r="D234" t="s">
        <v>202</v>
      </c>
      <c r="E234" t="s">
        <v>202</v>
      </c>
      <c r="F234" t="s">
        <v>202</v>
      </c>
      <c r="G234" t="s">
        <v>202</v>
      </c>
      <c r="H234" t="s">
        <v>202</v>
      </c>
      <c r="I234" t="s">
        <v>202</v>
      </c>
      <c r="J234" t="s">
        <v>202</v>
      </c>
      <c r="K234" t="s">
        <v>202</v>
      </c>
      <c r="L234" t="s">
        <v>202</v>
      </c>
      <c r="M234" t="s">
        <v>202</v>
      </c>
      <c r="N234" t="s">
        <v>192</v>
      </c>
      <c r="O234" t="s">
        <v>192</v>
      </c>
      <c r="P234" t="s">
        <v>203</v>
      </c>
      <c r="R234" s="17"/>
    </row>
    <row r="235" spans="1:19">
      <c r="A235" t="s">
        <v>330</v>
      </c>
      <c r="B235" s="2">
        <v>45642</v>
      </c>
      <c r="C235" t="s">
        <v>218</v>
      </c>
      <c r="D235" t="s">
        <v>202</v>
      </c>
      <c r="E235" t="s">
        <v>202</v>
      </c>
      <c r="F235" t="s">
        <v>202</v>
      </c>
      <c r="G235" t="s">
        <v>202</v>
      </c>
      <c r="H235" t="s">
        <v>202</v>
      </c>
      <c r="I235" t="s">
        <v>202</v>
      </c>
      <c r="J235" t="s">
        <v>202</v>
      </c>
      <c r="K235" t="s">
        <v>202</v>
      </c>
      <c r="L235" t="s">
        <v>202</v>
      </c>
      <c r="M235" t="s">
        <v>202</v>
      </c>
      <c r="N235" t="s">
        <v>202</v>
      </c>
      <c r="O235" t="s">
        <v>192</v>
      </c>
      <c r="P235" t="s">
        <v>203</v>
      </c>
      <c r="R235" s="17"/>
      <c r="S235" t="s">
        <v>452</v>
      </c>
    </row>
    <row r="236" spans="1:19">
      <c r="A236" t="s">
        <v>480</v>
      </c>
      <c r="B236" s="2">
        <v>45680</v>
      </c>
      <c r="C236" t="s">
        <v>218</v>
      </c>
      <c r="D236" t="s">
        <v>202</v>
      </c>
      <c r="E236" t="s">
        <v>202</v>
      </c>
      <c r="F236" t="s">
        <v>202</v>
      </c>
      <c r="G236" t="s">
        <v>202</v>
      </c>
      <c r="H236" t="s">
        <v>202</v>
      </c>
      <c r="I236" t="s">
        <v>202</v>
      </c>
      <c r="J236" t="s">
        <v>202</v>
      </c>
      <c r="K236" t="s">
        <v>202</v>
      </c>
      <c r="L236" t="s">
        <v>192</v>
      </c>
      <c r="M236" s="18" t="s">
        <v>192</v>
      </c>
      <c r="N236" s="18" t="s">
        <v>202</v>
      </c>
      <c r="O236" s="18" t="s">
        <v>192</v>
      </c>
      <c r="P236" s="18" t="s">
        <v>203</v>
      </c>
      <c r="R236" s="17"/>
      <c r="S236" t="s">
        <v>452</v>
      </c>
    </row>
    <row r="237" spans="1:19">
      <c r="A237" t="s">
        <v>332</v>
      </c>
      <c r="B237" s="2">
        <v>45686</v>
      </c>
      <c r="C237" t="s">
        <v>218</v>
      </c>
      <c r="D237" t="s">
        <v>202</v>
      </c>
      <c r="E237" t="s">
        <v>202</v>
      </c>
      <c r="F237" t="s">
        <v>202</v>
      </c>
      <c r="G237" t="s">
        <v>202</v>
      </c>
      <c r="H237" t="s">
        <v>202</v>
      </c>
      <c r="I237" t="s">
        <v>192</v>
      </c>
      <c r="J237" t="s">
        <v>202</v>
      </c>
      <c r="K237" t="s">
        <v>202</v>
      </c>
      <c r="L237" t="s">
        <v>202</v>
      </c>
      <c r="M237" t="s">
        <v>192</v>
      </c>
      <c r="N237" t="s">
        <v>202</v>
      </c>
      <c r="O237" t="s">
        <v>192</v>
      </c>
      <c r="P237" t="s">
        <v>336</v>
      </c>
      <c r="R237" s="17"/>
    </row>
    <row r="238" spans="1:19">
      <c r="A238" t="s">
        <v>265</v>
      </c>
      <c r="B238" s="2">
        <v>45684</v>
      </c>
      <c r="C238" t="s">
        <v>218</v>
      </c>
      <c r="D238" t="s">
        <v>202</v>
      </c>
      <c r="E238" t="s">
        <v>202</v>
      </c>
      <c r="F238" t="s">
        <v>192</v>
      </c>
      <c r="G238" t="s">
        <v>202</v>
      </c>
      <c r="H238" t="s">
        <v>202</v>
      </c>
      <c r="I238" t="s">
        <v>355</v>
      </c>
      <c r="J238" t="s">
        <v>202</v>
      </c>
      <c r="K238" t="s">
        <v>202</v>
      </c>
      <c r="L238" t="s">
        <v>202</v>
      </c>
      <c r="M238" t="s">
        <v>484</v>
      </c>
      <c r="N238" t="s">
        <v>202</v>
      </c>
      <c r="O238" t="s">
        <v>192</v>
      </c>
      <c r="P238" t="s">
        <v>203</v>
      </c>
      <c r="R238" s="17"/>
    </row>
    <row r="239" spans="1:19">
      <c r="A239" t="s">
        <v>481</v>
      </c>
      <c r="B239" s="2">
        <v>45705</v>
      </c>
      <c r="C239" t="s">
        <v>218</v>
      </c>
      <c r="D239" t="s">
        <v>202</v>
      </c>
      <c r="E239" t="s">
        <v>202</v>
      </c>
      <c r="F239" t="s">
        <v>202</v>
      </c>
      <c r="G239" t="s">
        <v>202</v>
      </c>
      <c r="H239" t="s">
        <v>202</v>
      </c>
      <c r="I239" t="s">
        <v>192</v>
      </c>
      <c r="J239" t="s">
        <v>202</v>
      </c>
      <c r="K239" s="19" t="s">
        <v>202</v>
      </c>
      <c r="L239" s="19" t="s">
        <v>485</v>
      </c>
      <c r="M239" s="19" t="s">
        <v>192</v>
      </c>
      <c r="N239" s="19" t="s">
        <v>202</v>
      </c>
      <c r="O239" s="19" t="s">
        <v>192</v>
      </c>
      <c r="P239" s="19" t="s">
        <v>203</v>
      </c>
      <c r="R239" s="17"/>
    </row>
    <row r="240" spans="1:19">
      <c r="A240" t="s">
        <v>262</v>
      </c>
      <c r="B240" s="2">
        <v>45694</v>
      </c>
      <c r="C240" t="s">
        <v>201</v>
      </c>
      <c r="D240" t="s">
        <v>202</v>
      </c>
      <c r="E240" t="s">
        <v>192</v>
      </c>
      <c r="F240" t="s">
        <v>202</v>
      </c>
      <c r="G240" t="s">
        <v>202</v>
      </c>
      <c r="H240" t="s">
        <v>362</v>
      </c>
      <c r="I240" t="s">
        <v>355</v>
      </c>
      <c r="J240" t="s">
        <v>202</v>
      </c>
      <c r="K240" t="s">
        <v>202</v>
      </c>
      <c r="L240" t="s">
        <v>202</v>
      </c>
      <c r="M240" t="s">
        <v>192</v>
      </c>
      <c r="N240" t="s">
        <v>202</v>
      </c>
      <c r="O240" t="s">
        <v>192</v>
      </c>
      <c r="P240" t="s">
        <v>203</v>
      </c>
      <c r="R240" s="17"/>
    </row>
    <row r="241" spans="1:19">
      <c r="A241" t="s">
        <v>427</v>
      </c>
      <c r="B241" s="2">
        <v>45706</v>
      </c>
      <c r="C241" t="s">
        <v>218</v>
      </c>
      <c r="D241" t="s">
        <v>202</v>
      </c>
      <c r="E241" t="s">
        <v>202</v>
      </c>
      <c r="F241" t="s">
        <v>202</v>
      </c>
      <c r="G241" t="s">
        <v>202</v>
      </c>
      <c r="H241" t="s">
        <v>202</v>
      </c>
      <c r="I241" t="s">
        <v>202</v>
      </c>
      <c r="J241" t="s">
        <v>202</v>
      </c>
      <c r="K241" t="s">
        <v>202</v>
      </c>
      <c r="L241" s="19" t="s">
        <v>202</v>
      </c>
      <c r="M241" s="19" t="s">
        <v>202</v>
      </c>
      <c r="N241" s="19" t="s">
        <v>202</v>
      </c>
      <c r="O241" s="19" t="s">
        <v>192</v>
      </c>
      <c r="P241" s="19" t="s">
        <v>336</v>
      </c>
      <c r="R241" s="17"/>
    </row>
    <row r="242" spans="1:19">
      <c r="A242" t="s">
        <v>221</v>
      </c>
      <c r="B242" s="2">
        <v>45708</v>
      </c>
      <c r="C242" t="s">
        <v>218</v>
      </c>
      <c r="D242" t="s">
        <v>202</v>
      </c>
      <c r="E242" t="s">
        <v>202</v>
      </c>
      <c r="F242" t="s">
        <v>202</v>
      </c>
      <c r="G242" t="s">
        <v>202</v>
      </c>
      <c r="H242" t="s">
        <v>482</v>
      </c>
      <c r="I242" t="s">
        <v>192</v>
      </c>
      <c r="J242" t="s">
        <v>202</v>
      </c>
      <c r="K242" t="s">
        <v>202</v>
      </c>
      <c r="L242" t="s">
        <v>202</v>
      </c>
      <c r="M242" t="s">
        <v>355</v>
      </c>
      <c r="N242" s="18" t="s">
        <v>202</v>
      </c>
      <c r="O242" s="18" t="s">
        <v>192</v>
      </c>
      <c r="P242" s="18" t="s">
        <v>203</v>
      </c>
      <c r="R242" s="17"/>
    </row>
    <row r="243" spans="1:19">
      <c r="A243" t="s">
        <v>351</v>
      </c>
      <c r="B243" s="2">
        <v>45722</v>
      </c>
      <c r="C243" t="s">
        <v>218</v>
      </c>
      <c r="D243" t="s">
        <v>202</v>
      </c>
      <c r="E243" t="s">
        <v>202</v>
      </c>
      <c r="F243" t="s">
        <v>202</v>
      </c>
      <c r="G243" t="s">
        <v>202</v>
      </c>
      <c r="H243" t="s">
        <v>202</v>
      </c>
      <c r="I243" t="s">
        <v>484</v>
      </c>
      <c r="J243" t="s">
        <v>202</v>
      </c>
      <c r="K243" t="s">
        <v>202</v>
      </c>
      <c r="L243" t="s">
        <v>202</v>
      </c>
      <c r="M243" t="s">
        <v>192</v>
      </c>
      <c r="N243" s="19" t="s">
        <v>202</v>
      </c>
      <c r="O243" s="19" t="s">
        <v>192</v>
      </c>
      <c r="P243" s="19" t="s">
        <v>336</v>
      </c>
      <c r="R243" s="17"/>
    </row>
    <row r="244" spans="1:19">
      <c r="A244" t="s">
        <v>412</v>
      </c>
      <c r="B244" s="2">
        <v>45699</v>
      </c>
      <c r="C244" t="s">
        <v>201</v>
      </c>
      <c r="D244" t="s">
        <v>202</v>
      </c>
      <c r="E244" t="s">
        <v>192</v>
      </c>
      <c r="F244" t="s">
        <v>202</v>
      </c>
      <c r="G244" t="s">
        <v>202</v>
      </c>
      <c r="H244" t="s">
        <v>202</v>
      </c>
      <c r="I244" t="s">
        <v>192</v>
      </c>
      <c r="J244" t="s">
        <v>202</v>
      </c>
      <c r="K244" t="s">
        <v>202</v>
      </c>
      <c r="L244" t="s">
        <v>202</v>
      </c>
      <c r="M244" t="s">
        <v>192</v>
      </c>
      <c r="N244" t="s">
        <v>202</v>
      </c>
      <c r="O244" t="s">
        <v>192</v>
      </c>
      <c r="P244" t="s">
        <v>203</v>
      </c>
      <c r="R244" s="17"/>
    </row>
    <row r="245" spans="1:19">
      <c r="A245" t="s">
        <v>261</v>
      </c>
      <c r="B245" s="2">
        <v>45712</v>
      </c>
      <c r="C245" t="s">
        <v>218</v>
      </c>
      <c r="D245" t="s">
        <v>202</v>
      </c>
      <c r="E245" t="s">
        <v>202</v>
      </c>
      <c r="F245" t="s">
        <v>202</v>
      </c>
      <c r="G245" t="s">
        <v>202</v>
      </c>
      <c r="H245" t="s">
        <v>202</v>
      </c>
      <c r="I245" t="s">
        <v>202</v>
      </c>
      <c r="J245" t="s">
        <v>202</v>
      </c>
      <c r="K245" t="s">
        <v>202</v>
      </c>
      <c r="L245" t="s">
        <v>192</v>
      </c>
      <c r="M245" t="s">
        <v>355</v>
      </c>
      <c r="N245" t="s">
        <v>192</v>
      </c>
      <c r="O245" t="s">
        <v>192</v>
      </c>
      <c r="P245" t="s">
        <v>203</v>
      </c>
      <c r="R245" s="17"/>
      <c r="S245" t="s">
        <v>192</v>
      </c>
    </row>
    <row r="246" spans="1:19">
      <c r="A246" t="s">
        <v>356</v>
      </c>
      <c r="B246" s="2">
        <v>45713</v>
      </c>
      <c r="C246" t="s">
        <v>218</v>
      </c>
      <c r="D246" t="s">
        <v>202</v>
      </c>
      <c r="E246" t="s">
        <v>202</v>
      </c>
      <c r="F246" t="s">
        <v>202</v>
      </c>
      <c r="G246" t="s">
        <v>202</v>
      </c>
      <c r="H246" t="s">
        <v>202</v>
      </c>
      <c r="I246" t="s">
        <v>192</v>
      </c>
      <c r="J246" t="s">
        <v>192</v>
      </c>
      <c r="K246" t="s">
        <v>192</v>
      </c>
      <c r="L246" t="s">
        <v>192</v>
      </c>
      <c r="M246" t="s">
        <v>192</v>
      </c>
      <c r="N246" t="s">
        <v>192</v>
      </c>
      <c r="O246" t="s">
        <v>192</v>
      </c>
      <c r="P246" t="s">
        <v>203</v>
      </c>
      <c r="R246" s="17"/>
      <c r="S246" t="s">
        <v>192</v>
      </c>
    </row>
    <row r="247" spans="1:19">
      <c r="A247" t="s">
        <v>447</v>
      </c>
      <c r="B247" s="2">
        <v>45757</v>
      </c>
      <c r="C247" t="s">
        <v>218</v>
      </c>
      <c r="D247" t="s">
        <v>202</v>
      </c>
      <c r="E247" t="s">
        <v>202</v>
      </c>
      <c r="F247" t="s">
        <v>202</v>
      </c>
      <c r="G247" t="s">
        <v>202</v>
      </c>
      <c r="H247" t="s">
        <v>202</v>
      </c>
      <c r="I247" t="s">
        <v>202</v>
      </c>
      <c r="J247" t="s">
        <v>202</v>
      </c>
      <c r="K247" t="s">
        <v>202</v>
      </c>
      <c r="L247" s="19" t="s">
        <v>202</v>
      </c>
      <c r="M247" s="19" t="s">
        <v>202</v>
      </c>
      <c r="N247" s="19" t="s">
        <v>202</v>
      </c>
      <c r="O247" s="19" t="s">
        <v>192</v>
      </c>
      <c r="P247" s="19" t="s">
        <v>203</v>
      </c>
      <c r="R247" s="17"/>
    </row>
    <row r="248" spans="1:19">
      <c r="A248" t="s">
        <v>422</v>
      </c>
      <c r="B248" s="2">
        <v>45769</v>
      </c>
      <c r="C248" t="s">
        <v>218</v>
      </c>
      <c r="D248" t="s">
        <v>202</v>
      </c>
      <c r="E248" t="s">
        <v>202</v>
      </c>
      <c r="F248" t="s">
        <v>202</v>
      </c>
      <c r="G248" t="s">
        <v>202</v>
      </c>
      <c r="H248" s="18" t="s">
        <v>355</v>
      </c>
      <c r="I248" s="18" t="s">
        <v>192</v>
      </c>
      <c r="J248" s="18" t="s">
        <v>202</v>
      </c>
      <c r="K248" s="18" t="s">
        <v>202</v>
      </c>
      <c r="L248" s="18" t="s">
        <v>192</v>
      </c>
      <c r="M248" s="18" t="s">
        <v>202</v>
      </c>
      <c r="N248" s="18" t="s">
        <v>202</v>
      </c>
      <c r="O248" s="18" t="s">
        <v>192</v>
      </c>
      <c r="P248" s="18" t="s">
        <v>203</v>
      </c>
      <c r="R248" s="17"/>
    </row>
    <row r="249" spans="1:19">
      <c r="A249" t="s">
        <v>338</v>
      </c>
      <c r="B249" s="2">
        <v>45826</v>
      </c>
      <c r="C249" t="s">
        <v>218</v>
      </c>
      <c r="D249" t="s">
        <v>202</v>
      </c>
      <c r="E249" t="s">
        <v>202</v>
      </c>
      <c r="F249" t="s">
        <v>202</v>
      </c>
      <c r="G249" t="s">
        <v>202</v>
      </c>
      <c r="H249" t="s">
        <v>202</v>
      </c>
      <c r="I249" t="s">
        <v>202</v>
      </c>
      <c r="J249" t="s">
        <v>202</v>
      </c>
      <c r="K249" t="s">
        <v>202</v>
      </c>
      <c r="L249" t="s">
        <v>202</v>
      </c>
      <c r="M249" t="s">
        <v>202</v>
      </c>
      <c r="N249" s="19" t="s">
        <v>202</v>
      </c>
      <c r="O249" s="19" t="s">
        <v>192</v>
      </c>
      <c r="P249" s="19" t="s">
        <v>203</v>
      </c>
      <c r="Q249" s="19"/>
      <c r="R249" s="17"/>
    </row>
    <row r="250" spans="1:19">
      <c r="A250" t="s">
        <v>334</v>
      </c>
      <c r="B250" s="2">
        <v>45827</v>
      </c>
      <c r="C250" t="s">
        <v>218</v>
      </c>
      <c r="D250" t="s">
        <v>202</v>
      </c>
      <c r="E250" t="s">
        <v>202</v>
      </c>
      <c r="F250" t="s">
        <v>202</v>
      </c>
      <c r="G250" t="s">
        <v>202</v>
      </c>
      <c r="H250" t="s">
        <v>202</v>
      </c>
      <c r="I250" t="s">
        <v>202</v>
      </c>
      <c r="J250" t="s">
        <v>202</v>
      </c>
      <c r="K250" t="s">
        <v>490</v>
      </c>
      <c r="L250" s="18" t="s">
        <v>202</v>
      </c>
      <c r="M250" s="18" t="s">
        <v>202</v>
      </c>
      <c r="N250" s="18" t="s">
        <v>202</v>
      </c>
      <c r="O250" s="18" t="s">
        <v>192</v>
      </c>
      <c r="P250" s="18" t="s">
        <v>203</v>
      </c>
      <c r="Q250" s="18"/>
      <c r="R250" s="17"/>
    </row>
    <row r="251" spans="1:19">
      <c r="A251" t="s">
        <v>361</v>
      </c>
      <c r="B251" s="2">
        <v>45742</v>
      </c>
      <c r="C251" t="s">
        <v>218</v>
      </c>
      <c r="D251" t="s">
        <v>202</v>
      </c>
      <c r="E251" t="s">
        <v>202</v>
      </c>
      <c r="F251" t="s">
        <v>192</v>
      </c>
      <c r="G251" t="s">
        <v>202</v>
      </c>
      <c r="H251" t="s">
        <v>192</v>
      </c>
      <c r="I251" t="s">
        <v>355</v>
      </c>
      <c r="J251" t="s">
        <v>202</v>
      </c>
      <c r="K251" t="s">
        <v>202</v>
      </c>
      <c r="L251" s="19" t="s">
        <v>202</v>
      </c>
      <c r="M251" s="19" t="s">
        <v>355</v>
      </c>
      <c r="N251" s="19" t="s">
        <v>202</v>
      </c>
      <c r="O251" s="19" t="s">
        <v>192</v>
      </c>
      <c r="P251" s="19" t="s">
        <v>203</v>
      </c>
      <c r="R251" s="17"/>
    </row>
    <row r="252" spans="1:19">
      <c r="A252" t="s">
        <v>475</v>
      </c>
      <c r="B252" s="2">
        <v>45743</v>
      </c>
      <c r="C252" t="s">
        <v>218</v>
      </c>
      <c r="D252" t="s">
        <v>202</v>
      </c>
      <c r="E252" t="s">
        <v>202</v>
      </c>
      <c r="F252" t="s">
        <v>202</v>
      </c>
      <c r="G252" t="s">
        <v>202</v>
      </c>
      <c r="H252" t="s">
        <v>202</v>
      </c>
      <c r="I252" t="s">
        <v>192</v>
      </c>
      <c r="J252" t="s">
        <v>202</v>
      </c>
      <c r="K252" t="s">
        <v>202</v>
      </c>
      <c r="L252" t="s">
        <v>202</v>
      </c>
      <c r="M252" t="s">
        <v>192</v>
      </c>
      <c r="N252" t="s">
        <v>192</v>
      </c>
      <c r="O252" s="18" t="s">
        <v>192</v>
      </c>
      <c r="P252" s="18" t="s">
        <v>203</v>
      </c>
      <c r="R252" s="62"/>
    </row>
    <row r="253" spans="1:19">
      <c r="A253" t="s">
        <v>463</v>
      </c>
      <c r="B253" s="2">
        <v>45748</v>
      </c>
      <c r="C253" t="s">
        <v>218</v>
      </c>
      <c r="D253" t="s">
        <v>202</v>
      </c>
      <c r="E253" t="s">
        <v>202</v>
      </c>
      <c r="F253" t="s">
        <v>202</v>
      </c>
      <c r="G253" t="s">
        <v>202</v>
      </c>
      <c r="H253" t="s">
        <v>484</v>
      </c>
      <c r="I253" t="s">
        <v>202</v>
      </c>
      <c r="J253" t="s">
        <v>202</v>
      </c>
      <c r="K253" t="s">
        <v>202</v>
      </c>
      <c r="L253" t="s">
        <v>202</v>
      </c>
      <c r="M253" s="19" t="s">
        <v>202</v>
      </c>
      <c r="N253" s="19" t="s">
        <v>202</v>
      </c>
      <c r="O253" s="19" t="s">
        <v>192</v>
      </c>
      <c r="P253" s="19" t="s">
        <v>203</v>
      </c>
      <c r="R253" s="17"/>
    </row>
    <row r="254" spans="1:19">
      <c r="A254" t="s">
        <v>465</v>
      </c>
      <c r="B254" s="2">
        <v>45741</v>
      </c>
      <c r="C254" t="s">
        <v>201</v>
      </c>
      <c r="D254" t="s">
        <v>202</v>
      </c>
      <c r="E254" t="s">
        <v>202</v>
      </c>
      <c r="F254" t="s">
        <v>202</v>
      </c>
      <c r="G254" t="s">
        <v>202</v>
      </c>
      <c r="H254" t="s">
        <v>202</v>
      </c>
      <c r="I254" t="s">
        <v>202</v>
      </c>
      <c r="J254" t="s">
        <v>202</v>
      </c>
      <c r="K254" t="s">
        <v>202</v>
      </c>
      <c r="L254" t="s">
        <v>202</v>
      </c>
      <c r="M254" s="18" t="s">
        <v>202</v>
      </c>
      <c r="N254" s="18" t="s">
        <v>202</v>
      </c>
      <c r="O254" s="18" t="s">
        <v>192</v>
      </c>
      <c r="P254" s="18" t="s">
        <v>203</v>
      </c>
      <c r="R254" s="17"/>
    </row>
    <row r="255" spans="1:19">
      <c r="A255" t="s">
        <v>445</v>
      </c>
      <c r="B255" s="63">
        <v>45777</v>
      </c>
      <c r="C255" t="s">
        <v>201</v>
      </c>
      <c r="D255" t="s">
        <v>202</v>
      </c>
      <c r="E255" t="s">
        <v>192</v>
      </c>
      <c r="F255" t="s">
        <v>192</v>
      </c>
      <c r="G255" t="s">
        <v>202</v>
      </c>
      <c r="H255" t="s">
        <v>202</v>
      </c>
      <c r="I255" t="s">
        <v>192</v>
      </c>
      <c r="J255" t="s">
        <v>202</v>
      </c>
      <c r="K255" t="s">
        <v>202</v>
      </c>
      <c r="L255" t="s">
        <v>202</v>
      </c>
      <c r="M255" s="19" t="s">
        <v>355</v>
      </c>
      <c r="N255" s="19" t="s">
        <v>202</v>
      </c>
      <c r="O255" s="19" t="s">
        <v>192</v>
      </c>
      <c r="P255" s="19" t="s">
        <v>203</v>
      </c>
    </row>
    <row r="256" spans="1:19">
      <c r="A256" t="s">
        <v>262</v>
      </c>
      <c r="B256" s="2">
        <v>45771</v>
      </c>
      <c r="C256" t="s">
        <v>218</v>
      </c>
      <c r="D256" t="s">
        <v>202</v>
      </c>
      <c r="E256" t="s">
        <v>202</v>
      </c>
      <c r="F256" t="s">
        <v>202</v>
      </c>
      <c r="G256" t="s">
        <v>202</v>
      </c>
      <c r="H256" t="s">
        <v>202</v>
      </c>
      <c r="I256" t="s">
        <v>192</v>
      </c>
      <c r="J256" t="s">
        <v>202</v>
      </c>
      <c r="K256" t="s">
        <v>202</v>
      </c>
      <c r="L256" t="s">
        <v>202</v>
      </c>
      <c r="M256" s="19" t="s">
        <v>355</v>
      </c>
      <c r="N256" s="19" t="s">
        <v>202</v>
      </c>
      <c r="O256" s="19" t="s">
        <v>192</v>
      </c>
      <c r="P256" s="19" t="s">
        <v>203</v>
      </c>
      <c r="R256" s="17"/>
    </row>
    <row r="257" spans="1:19">
      <c r="A257" t="s">
        <v>466</v>
      </c>
      <c r="B257" s="2">
        <v>45825</v>
      </c>
      <c r="C257" t="s">
        <v>218</v>
      </c>
      <c r="D257" t="s">
        <v>202</v>
      </c>
      <c r="E257" t="s">
        <v>202</v>
      </c>
      <c r="F257" t="s">
        <v>202</v>
      </c>
      <c r="G257" t="s">
        <v>202</v>
      </c>
      <c r="H257" t="s">
        <v>202</v>
      </c>
      <c r="I257" t="s">
        <v>202</v>
      </c>
      <c r="J257" t="s">
        <v>202</v>
      </c>
      <c r="K257" t="s">
        <v>202</v>
      </c>
      <c r="L257" t="s">
        <v>202</v>
      </c>
      <c r="M257" s="18" t="s">
        <v>202</v>
      </c>
      <c r="N257" s="18" t="s">
        <v>202</v>
      </c>
      <c r="O257" s="18" t="s">
        <v>192</v>
      </c>
      <c r="P257" s="18" t="s">
        <v>203</v>
      </c>
      <c r="Q257" s="18"/>
      <c r="R257" s="17"/>
    </row>
    <row r="258" spans="1:19">
      <c r="A258" t="s">
        <v>461</v>
      </c>
      <c r="B258" s="2">
        <v>45804</v>
      </c>
      <c r="C258" t="s">
        <v>218</v>
      </c>
      <c r="D258" t="s">
        <v>202</v>
      </c>
      <c r="E258" t="s">
        <v>202</v>
      </c>
      <c r="F258" t="s">
        <v>202</v>
      </c>
      <c r="G258" t="s">
        <v>202</v>
      </c>
      <c r="H258" t="s">
        <v>202</v>
      </c>
      <c r="I258" t="s">
        <v>355</v>
      </c>
      <c r="J258" t="s">
        <v>202</v>
      </c>
      <c r="K258" t="s">
        <v>202</v>
      </c>
      <c r="L258" t="s">
        <v>202</v>
      </c>
      <c r="M258" t="s">
        <v>355</v>
      </c>
      <c r="N258" s="19" t="s">
        <v>202</v>
      </c>
      <c r="O258" s="19" t="s">
        <v>192</v>
      </c>
      <c r="P258" s="19" t="s">
        <v>203</v>
      </c>
      <c r="R258" s="17"/>
    </row>
    <row r="259" spans="1:19">
      <c r="A259" t="s">
        <v>446</v>
      </c>
      <c r="B259" s="60">
        <v>45832</v>
      </c>
      <c r="C259" t="s">
        <v>488</v>
      </c>
      <c r="D259" t="s">
        <v>202</v>
      </c>
      <c r="E259" t="s">
        <v>192</v>
      </c>
      <c r="F259" t="s">
        <v>192</v>
      </c>
      <c r="G259" t="s">
        <v>202</v>
      </c>
      <c r="H259" t="s">
        <v>462</v>
      </c>
      <c r="I259" t="s">
        <v>202</v>
      </c>
      <c r="J259" t="s">
        <v>202</v>
      </c>
      <c r="K259" t="s">
        <v>202</v>
      </c>
      <c r="L259" t="s">
        <v>202</v>
      </c>
      <c r="M259" t="s">
        <v>202</v>
      </c>
      <c r="N259" s="18" t="s">
        <v>202</v>
      </c>
      <c r="O259" s="18" t="s">
        <v>192</v>
      </c>
      <c r="P259" s="18" t="s">
        <v>203</v>
      </c>
      <c r="Q259" s="18"/>
      <c r="R259" s="17"/>
    </row>
    <row r="260" spans="1:19">
      <c r="A260" t="s">
        <v>365</v>
      </c>
      <c r="B260" s="2">
        <v>45797</v>
      </c>
      <c r="C260" t="s">
        <v>218</v>
      </c>
      <c r="D260" t="s">
        <v>202</v>
      </c>
      <c r="E260" t="s">
        <v>202</v>
      </c>
      <c r="F260" t="s">
        <v>202</v>
      </c>
      <c r="G260" t="s">
        <v>202</v>
      </c>
      <c r="H260" t="s">
        <v>202</v>
      </c>
      <c r="I260" t="s">
        <v>202</v>
      </c>
      <c r="J260" t="s">
        <v>202</v>
      </c>
      <c r="K260" t="s">
        <v>202</v>
      </c>
      <c r="L260" t="s">
        <v>202</v>
      </c>
      <c r="M260" s="19" t="s">
        <v>202</v>
      </c>
      <c r="N260" s="19" t="s">
        <v>202</v>
      </c>
      <c r="O260" s="19" t="s">
        <v>192</v>
      </c>
      <c r="P260" s="19" t="s">
        <v>336</v>
      </c>
      <c r="Q260" s="19"/>
      <c r="R260" s="17"/>
    </row>
    <row r="261" spans="1:19">
      <c r="A261" t="s">
        <v>335</v>
      </c>
      <c r="B261" s="2">
        <v>45790</v>
      </c>
      <c r="C261" t="s">
        <v>218</v>
      </c>
      <c r="D261" t="s">
        <v>202</v>
      </c>
      <c r="E261" t="s">
        <v>202</v>
      </c>
      <c r="F261" t="s">
        <v>202</v>
      </c>
      <c r="G261" t="s">
        <v>202</v>
      </c>
      <c r="H261" t="s">
        <v>202</v>
      </c>
      <c r="I261" t="s">
        <v>202</v>
      </c>
      <c r="J261" t="s">
        <v>202</v>
      </c>
      <c r="K261" t="s">
        <v>202</v>
      </c>
      <c r="L261" t="s">
        <v>202</v>
      </c>
      <c r="M261" t="s">
        <v>202</v>
      </c>
      <c r="N261" s="18" t="s">
        <v>202</v>
      </c>
      <c r="O261" s="18" t="s">
        <v>192</v>
      </c>
      <c r="P261" s="18" t="s">
        <v>336</v>
      </c>
      <c r="R261" s="17"/>
    </row>
    <row r="262" spans="1:19">
      <c r="A262" t="s">
        <v>389</v>
      </c>
      <c r="B262" s="2">
        <v>45734</v>
      </c>
      <c r="C262" t="s">
        <v>218</v>
      </c>
      <c r="D262" t="s">
        <v>202</v>
      </c>
      <c r="E262" t="s">
        <v>202</v>
      </c>
      <c r="F262" t="s">
        <v>202</v>
      </c>
      <c r="G262" t="s">
        <v>202</v>
      </c>
      <c r="H262" t="s">
        <v>355</v>
      </c>
      <c r="I262" t="s">
        <v>202</v>
      </c>
      <c r="J262" t="s">
        <v>202</v>
      </c>
      <c r="K262" t="s">
        <v>202</v>
      </c>
      <c r="L262" s="18" t="s">
        <v>202</v>
      </c>
      <c r="M262" s="18" t="s">
        <v>202</v>
      </c>
      <c r="N262" s="18" t="s">
        <v>202</v>
      </c>
      <c r="O262" s="18" t="s">
        <v>192</v>
      </c>
      <c r="P262" s="18" t="s">
        <v>203</v>
      </c>
      <c r="Q262" s="18"/>
      <c r="R262" s="17"/>
    </row>
    <row r="263" spans="1:19">
      <c r="A263" t="s">
        <v>458</v>
      </c>
      <c r="B263" s="2">
        <v>45799</v>
      </c>
      <c r="C263" t="s">
        <v>218</v>
      </c>
      <c r="D263" t="s">
        <v>202</v>
      </c>
      <c r="E263" t="s">
        <v>202</v>
      </c>
      <c r="F263" t="s">
        <v>202</v>
      </c>
      <c r="G263" t="s">
        <v>202</v>
      </c>
      <c r="H263" t="s">
        <v>202</v>
      </c>
      <c r="I263" t="s">
        <v>192</v>
      </c>
      <c r="J263" t="s">
        <v>202</v>
      </c>
      <c r="K263" t="s">
        <v>202</v>
      </c>
      <c r="L263" t="s">
        <v>202</v>
      </c>
      <c r="N263" s="19" t="s">
        <v>202</v>
      </c>
      <c r="O263" s="19" t="s">
        <v>192</v>
      </c>
      <c r="P263" s="19" t="s">
        <v>203</v>
      </c>
      <c r="R263" s="17"/>
    </row>
    <row r="264" spans="1:19">
      <c r="A264" t="s">
        <v>460</v>
      </c>
      <c r="B264" s="2">
        <v>45819</v>
      </c>
      <c r="C264" t="s">
        <v>218</v>
      </c>
      <c r="D264" t="s">
        <v>202</v>
      </c>
      <c r="E264" t="s">
        <v>202</v>
      </c>
      <c r="F264" t="s">
        <v>202</v>
      </c>
      <c r="G264" t="s">
        <v>202</v>
      </c>
      <c r="H264" t="s">
        <v>202</v>
      </c>
      <c r="I264" t="s">
        <v>202</v>
      </c>
      <c r="J264" t="s">
        <v>202</v>
      </c>
      <c r="K264" t="s">
        <v>202</v>
      </c>
      <c r="L264" t="s">
        <v>202</v>
      </c>
      <c r="M264" t="s">
        <v>202</v>
      </c>
      <c r="N264" s="19" t="s">
        <v>202</v>
      </c>
      <c r="O264" s="19" t="s">
        <v>192</v>
      </c>
      <c r="P264" s="19" t="s">
        <v>203</v>
      </c>
      <c r="Q264" s="19"/>
      <c r="R264" s="17"/>
    </row>
    <row r="265" spans="1:19">
      <c r="A265" t="s">
        <v>234</v>
      </c>
      <c r="B265" s="2">
        <v>45769</v>
      </c>
      <c r="C265" t="s">
        <v>201</v>
      </c>
      <c r="D265" t="s">
        <v>202</v>
      </c>
      <c r="E265" t="s">
        <v>192</v>
      </c>
      <c r="F265" t="s">
        <v>202</v>
      </c>
      <c r="G265" t="s">
        <v>202</v>
      </c>
      <c r="H265" t="s">
        <v>202</v>
      </c>
      <c r="I265" t="s">
        <v>202</v>
      </c>
      <c r="J265" t="s">
        <v>202</v>
      </c>
      <c r="K265" s="18" t="s">
        <v>202</v>
      </c>
      <c r="L265" s="18" t="s">
        <v>202</v>
      </c>
      <c r="M265" s="18" t="s">
        <v>202</v>
      </c>
      <c r="N265" s="18" t="s">
        <v>202</v>
      </c>
      <c r="O265" s="18" t="s">
        <v>192</v>
      </c>
      <c r="P265" s="18" t="s">
        <v>203</v>
      </c>
      <c r="R265" s="17"/>
    </row>
    <row r="266" spans="1:19">
      <c r="A266" t="s">
        <v>486</v>
      </c>
      <c r="B266" s="2">
        <v>45811</v>
      </c>
      <c r="C266" t="s">
        <v>201</v>
      </c>
      <c r="D266" t="s">
        <v>202</v>
      </c>
      <c r="E266" t="s">
        <v>192</v>
      </c>
      <c r="F266" t="s">
        <v>202</v>
      </c>
      <c r="G266" t="s">
        <v>202</v>
      </c>
      <c r="H266" t="s">
        <v>202</v>
      </c>
      <c r="I266" t="s">
        <v>192</v>
      </c>
      <c r="J266" t="s">
        <v>202</v>
      </c>
      <c r="K266" t="s">
        <v>202</v>
      </c>
      <c r="L266" t="s">
        <v>202</v>
      </c>
      <c r="M266" s="19" t="s">
        <v>192</v>
      </c>
      <c r="N266" s="19" t="s">
        <v>202</v>
      </c>
      <c r="O266" s="19" t="s">
        <v>192</v>
      </c>
      <c r="P266" s="19" t="s">
        <v>203</v>
      </c>
      <c r="Q266" s="19"/>
      <c r="R266" s="17"/>
    </row>
    <row r="267" spans="1:19">
      <c r="A267" t="s">
        <v>489</v>
      </c>
      <c r="B267" s="2">
        <v>45812</v>
      </c>
      <c r="C267" t="s">
        <v>487</v>
      </c>
      <c r="D267" t="s">
        <v>192</v>
      </c>
      <c r="E267" t="s">
        <v>192</v>
      </c>
      <c r="F267" t="s">
        <v>192</v>
      </c>
      <c r="G267" t="s">
        <v>192</v>
      </c>
      <c r="H267" t="s">
        <v>192</v>
      </c>
      <c r="I267" t="s">
        <v>192</v>
      </c>
      <c r="S267" t="s">
        <v>452</v>
      </c>
    </row>
    <row r="268" spans="1:19">
      <c r="A268" t="s">
        <v>412</v>
      </c>
      <c r="B268" s="2">
        <v>45839</v>
      </c>
      <c r="C268" t="s">
        <v>218</v>
      </c>
      <c r="D268" t="s">
        <v>202</v>
      </c>
      <c r="E268" t="s">
        <v>202</v>
      </c>
      <c r="F268" t="s">
        <v>202</v>
      </c>
      <c r="G268" t="s">
        <v>202</v>
      </c>
      <c r="H268" t="s">
        <v>202</v>
      </c>
      <c r="I268" t="s">
        <v>355</v>
      </c>
      <c r="J268" t="s">
        <v>202</v>
      </c>
      <c r="K268" t="s">
        <v>202</v>
      </c>
      <c r="L268" t="s">
        <v>202</v>
      </c>
      <c r="M268" t="s">
        <v>192</v>
      </c>
      <c r="N268" s="18" t="s">
        <v>202</v>
      </c>
      <c r="O268" s="18" t="s">
        <v>192</v>
      </c>
      <c r="P268" s="18" t="s">
        <v>203</v>
      </c>
      <c r="R268" s="17"/>
    </row>
    <row r="269" spans="1:19">
      <c r="A269" t="s">
        <v>447</v>
      </c>
      <c r="B269" s="2">
        <v>45867</v>
      </c>
      <c r="C269" t="s">
        <v>201</v>
      </c>
      <c r="D269" t="s">
        <v>202</v>
      </c>
      <c r="E269" t="s">
        <v>192</v>
      </c>
      <c r="F269" t="s">
        <v>202</v>
      </c>
      <c r="G269" t="s">
        <v>192</v>
      </c>
      <c r="H269" t="s">
        <v>202</v>
      </c>
      <c r="I269" t="s">
        <v>202</v>
      </c>
      <c r="J269" t="s">
        <v>202</v>
      </c>
      <c r="K269" t="s">
        <v>202</v>
      </c>
      <c r="L269" t="s">
        <v>202</v>
      </c>
      <c r="M269" t="s">
        <v>202</v>
      </c>
      <c r="N269" t="s">
        <v>202</v>
      </c>
      <c r="O269" t="s">
        <v>192</v>
      </c>
      <c r="P269" s="19" t="s">
        <v>203</v>
      </c>
      <c r="R269" s="17"/>
    </row>
    <row r="270" spans="1:19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</row>
    <row r="271" spans="1:19">
      <c r="A271" t="s">
        <v>491</v>
      </c>
      <c r="B271" s="2">
        <v>45909</v>
      </c>
      <c r="C271" t="s">
        <v>201</v>
      </c>
      <c r="D271" t="s">
        <v>192</v>
      </c>
      <c r="E271" t="s">
        <v>192</v>
      </c>
      <c r="F271" t="s">
        <v>202</v>
      </c>
      <c r="G271" t="s">
        <v>192</v>
      </c>
      <c r="H271" t="s">
        <v>202</v>
      </c>
      <c r="I271" t="s">
        <v>192</v>
      </c>
      <c r="J271" t="s">
        <v>202</v>
      </c>
      <c r="K271" t="s">
        <v>202</v>
      </c>
      <c r="L271" t="s">
        <v>202</v>
      </c>
      <c r="M271" t="s">
        <v>192</v>
      </c>
      <c r="N271" t="s">
        <v>202</v>
      </c>
      <c r="O271" t="s">
        <v>192</v>
      </c>
      <c r="P271" t="s">
        <v>203</v>
      </c>
      <c r="R271" s="17"/>
    </row>
    <row r="272" spans="1:19">
      <c r="A272" t="s">
        <v>492</v>
      </c>
      <c r="B272" s="2">
        <v>45910</v>
      </c>
      <c r="C272" t="s">
        <v>201</v>
      </c>
      <c r="D272" t="s">
        <v>192</v>
      </c>
      <c r="E272" t="s">
        <v>192</v>
      </c>
      <c r="F272" t="s">
        <v>192</v>
      </c>
      <c r="G272" t="s">
        <v>192</v>
      </c>
      <c r="H272" t="s">
        <v>202</v>
      </c>
      <c r="I272" t="s">
        <v>192</v>
      </c>
      <c r="J272" t="s">
        <v>202</v>
      </c>
      <c r="K272" t="s">
        <v>202</v>
      </c>
      <c r="L272" t="s">
        <v>202</v>
      </c>
      <c r="M272" t="s">
        <v>192</v>
      </c>
      <c r="N272" s="19" t="s">
        <v>202</v>
      </c>
      <c r="O272" s="19" t="s">
        <v>192</v>
      </c>
      <c r="P272" s="19" t="s">
        <v>203</v>
      </c>
      <c r="R272" s="17"/>
    </row>
    <row r="273" spans="1:18">
      <c r="A273" t="s">
        <v>493</v>
      </c>
      <c r="B273" s="2">
        <v>45916</v>
      </c>
      <c r="C273" t="s">
        <v>201</v>
      </c>
      <c r="D273" t="s">
        <v>192</v>
      </c>
      <c r="E273" t="s">
        <v>192</v>
      </c>
      <c r="F273" t="s">
        <v>202</v>
      </c>
      <c r="G273" t="s">
        <v>192</v>
      </c>
      <c r="H273" t="s">
        <v>355</v>
      </c>
      <c r="I273" t="s">
        <v>192</v>
      </c>
      <c r="J273" t="s">
        <v>202</v>
      </c>
      <c r="K273" t="s">
        <v>202</v>
      </c>
      <c r="L273" t="s">
        <v>355</v>
      </c>
      <c r="M273" t="s">
        <v>192</v>
      </c>
      <c r="N273" t="s">
        <v>202</v>
      </c>
      <c r="O273" t="s">
        <v>192</v>
      </c>
      <c r="P273" t="s">
        <v>203</v>
      </c>
      <c r="R273" s="17"/>
    </row>
    <row r="274" spans="1:18">
      <c r="A274" t="s">
        <v>494</v>
      </c>
      <c r="B274" s="2">
        <v>45917</v>
      </c>
      <c r="C274" t="s">
        <v>201</v>
      </c>
      <c r="D274" t="s">
        <v>192</v>
      </c>
      <c r="E274" t="s">
        <v>192</v>
      </c>
      <c r="F274" t="s">
        <v>202</v>
      </c>
      <c r="G274" t="s">
        <v>192</v>
      </c>
      <c r="H274" t="s">
        <v>202</v>
      </c>
      <c r="I274" t="s">
        <v>202</v>
      </c>
      <c r="J274" t="s">
        <v>202</v>
      </c>
      <c r="K274" t="s">
        <v>202</v>
      </c>
      <c r="L274" t="s">
        <v>202</v>
      </c>
      <c r="M274" t="s">
        <v>202</v>
      </c>
      <c r="N274" s="18" t="s">
        <v>202</v>
      </c>
      <c r="O274" s="18" t="s">
        <v>192</v>
      </c>
      <c r="P274" s="18" t="s">
        <v>336</v>
      </c>
      <c r="R274" s="17"/>
    </row>
    <row r="275" spans="1:18">
      <c r="A275" t="s">
        <v>413</v>
      </c>
      <c r="B275" s="2">
        <v>45923</v>
      </c>
      <c r="C275" t="s">
        <v>218</v>
      </c>
      <c r="D275" t="s">
        <v>202</v>
      </c>
      <c r="E275" t="s">
        <v>202</v>
      </c>
      <c r="F275" t="s">
        <v>202</v>
      </c>
      <c r="G275" t="s">
        <v>202</v>
      </c>
      <c r="H275" t="s">
        <v>202</v>
      </c>
      <c r="I275" t="s">
        <v>202</v>
      </c>
      <c r="J275" t="s">
        <v>202</v>
      </c>
      <c r="K275" t="s">
        <v>202</v>
      </c>
      <c r="L275" t="s">
        <v>202</v>
      </c>
      <c r="M275" t="s">
        <v>192</v>
      </c>
      <c r="N275" s="19" t="s">
        <v>202</v>
      </c>
      <c r="O275" s="19" t="s">
        <v>192</v>
      </c>
      <c r="P275" s="19" t="s">
        <v>203</v>
      </c>
      <c r="R275" s="17"/>
    </row>
    <row r="276" spans="1:18">
      <c r="A276" t="s">
        <v>454</v>
      </c>
      <c r="B276" s="2">
        <v>45932</v>
      </c>
      <c r="C276" t="s">
        <v>218</v>
      </c>
      <c r="D276" t="s">
        <v>202</v>
      </c>
      <c r="E276" t="s">
        <v>202</v>
      </c>
      <c r="F276" t="s">
        <v>192</v>
      </c>
      <c r="G276" t="s">
        <v>202</v>
      </c>
      <c r="H276" t="s">
        <v>202</v>
      </c>
      <c r="I276" t="s">
        <v>355</v>
      </c>
      <c r="J276" t="s">
        <v>202</v>
      </c>
      <c r="K276" t="s">
        <v>202</v>
      </c>
      <c r="L276" t="s">
        <v>202</v>
      </c>
      <c r="M276" t="s">
        <v>355</v>
      </c>
      <c r="N276" s="18" t="s">
        <v>202</v>
      </c>
      <c r="O276" s="18" t="s">
        <v>192</v>
      </c>
      <c r="P276" s="18" t="s">
        <v>203</v>
      </c>
      <c r="R276" s="17"/>
    </row>
    <row r="277" spans="1:18">
      <c r="A277" t="s">
        <v>226</v>
      </c>
      <c r="B277" s="2">
        <v>45937</v>
      </c>
      <c r="C277" t="s">
        <v>218</v>
      </c>
      <c r="D277" t="s">
        <v>202</v>
      </c>
      <c r="E277" t="s">
        <v>202</v>
      </c>
      <c r="F277" t="s">
        <v>202</v>
      </c>
      <c r="G277" t="s">
        <v>202</v>
      </c>
      <c r="H277" t="s">
        <v>202</v>
      </c>
      <c r="I277" t="s">
        <v>355</v>
      </c>
      <c r="J277" t="s">
        <v>202</v>
      </c>
      <c r="K277" t="s">
        <v>202</v>
      </c>
      <c r="L277" t="s">
        <v>202</v>
      </c>
      <c r="M277" t="s">
        <v>355</v>
      </c>
      <c r="N277" s="19" t="s">
        <v>202</v>
      </c>
      <c r="O277" s="19" t="s">
        <v>192</v>
      </c>
      <c r="P277" s="19" t="s">
        <v>203</v>
      </c>
      <c r="R277" s="17"/>
    </row>
    <row r="278" spans="1:18">
      <c r="A278" t="s">
        <v>459</v>
      </c>
      <c r="B278" s="2">
        <v>45951</v>
      </c>
      <c r="C278" t="s">
        <v>218</v>
      </c>
      <c r="D278" t="s">
        <v>202</v>
      </c>
      <c r="E278" t="s">
        <v>202</v>
      </c>
      <c r="F278" t="s">
        <v>202</v>
      </c>
      <c r="G278" t="s">
        <v>202</v>
      </c>
      <c r="H278" t="s">
        <v>202</v>
      </c>
      <c r="I278" t="s">
        <v>192</v>
      </c>
      <c r="J278" t="s">
        <v>202</v>
      </c>
      <c r="K278" t="s">
        <v>202</v>
      </c>
      <c r="L278" t="s">
        <v>202</v>
      </c>
      <c r="M278" t="s">
        <v>192</v>
      </c>
      <c r="N278" s="18" t="s">
        <v>202</v>
      </c>
      <c r="O278" s="18" t="s">
        <v>192</v>
      </c>
      <c r="P278" s="18" t="s">
        <v>203</v>
      </c>
      <c r="R278" s="17"/>
    </row>
    <row r="279" spans="1:18">
      <c r="A279" t="s">
        <v>411</v>
      </c>
      <c r="B279" s="2">
        <v>45952</v>
      </c>
      <c r="C279" t="s">
        <v>218</v>
      </c>
      <c r="D279" t="s">
        <v>202</v>
      </c>
      <c r="E279" t="s">
        <v>202</v>
      </c>
      <c r="F279" t="s">
        <v>202</v>
      </c>
      <c r="G279" t="s">
        <v>202</v>
      </c>
      <c r="H279" t="s">
        <v>202</v>
      </c>
      <c r="I279" t="s">
        <v>202</v>
      </c>
      <c r="J279" t="s">
        <v>202</v>
      </c>
      <c r="K279" t="s">
        <v>202</v>
      </c>
      <c r="L279" t="s">
        <v>202</v>
      </c>
      <c r="M279" t="s">
        <v>192</v>
      </c>
      <c r="N279" s="19" t="s">
        <v>202</v>
      </c>
      <c r="O279" s="19" t="s">
        <v>192</v>
      </c>
      <c r="P279" s="19" t="s">
        <v>203</v>
      </c>
      <c r="R279" s="17"/>
    </row>
    <row r="280" spans="1:18">
      <c r="A280" t="s">
        <v>408</v>
      </c>
      <c r="B280" s="2">
        <v>45957</v>
      </c>
      <c r="C280" t="s">
        <v>218</v>
      </c>
      <c r="D280" t="s">
        <v>202</v>
      </c>
      <c r="E280" t="s">
        <v>202</v>
      </c>
      <c r="F280" t="s">
        <v>202</v>
      </c>
      <c r="G280" t="s">
        <v>202</v>
      </c>
      <c r="H280" t="s">
        <v>202</v>
      </c>
      <c r="I280" t="s">
        <v>202</v>
      </c>
      <c r="J280" t="s">
        <v>202</v>
      </c>
      <c r="K280" t="s">
        <v>202</v>
      </c>
      <c r="L280" s="18" t="s">
        <v>202</v>
      </c>
      <c r="M280" s="18" t="s">
        <v>202</v>
      </c>
      <c r="N280" s="18" t="s">
        <v>202</v>
      </c>
      <c r="O280" s="18" t="s">
        <v>192</v>
      </c>
      <c r="P280" s="18" t="s">
        <v>203</v>
      </c>
      <c r="Q280" s="18"/>
      <c r="R280" s="17"/>
    </row>
    <row r="281" spans="1:18">
      <c r="A281" t="s">
        <v>351</v>
      </c>
      <c r="B281" s="2">
        <v>45957</v>
      </c>
      <c r="C281" t="s">
        <v>495</v>
      </c>
      <c r="D281" t="s">
        <v>202</v>
      </c>
      <c r="E281" t="s">
        <v>192</v>
      </c>
      <c r="F281" t="s">
        <v>202</v>
      </c>
      <c r="G281" t="s">
        <v>192</v>
      </c>
      <c r="H281" t="s">
        <v>192</v>
      </c>
      <c r="I281" t="s">
        <v>355</v>
      </c>
      <c r="J281" t="s">
        <v>202</v>
      </c>
      <c r="K281" t="s">
        <v>202</v>
      </c>
      <c r="L281" t="s">
        <v>355</v>
      </c>
      <c r="M281" t="s">
        <v>192</v>
      </c>
      <c r="N281" t="s">
        <v>202</v>
      </c>
      <c r="O281" t="s">
        <v>192</v>
      </c>
      <c r="P281" t="s">
        <v>203</v>
      </c>
      <c r="R281" s="17"/>
    </row>
    <row r="282" spans="1:18">
      <c r="A282" t="s">
        <v>367</v>
      </c>
      <c r="B282" s="2">
        <v>45960</v>
      </c>
      <c r="C282" t="s">
        <v>218</v>
      </c>
      <c r="D282" t="s">
        <v>202</v>
      </c>
      <c r="E282" t="s">
        <v>202</v>
      </c>
      <c r="F282" t="s">
        <v>202</v>
      </c>
      <c r="G282" t="s">
        <v>202</v>
      </c>
      <c r="H282" t="s">
        <v>202</v>
      </c>
      <c r="I282" t="s">
        <v>192</v>
      </c>
      <c r="J282" t="s">
        <v>202</v>
      </c>
      <c r="K282" t="s">
        <v>202</v>
      </c>
      <c r="L282" s="18" t="s">
        <v>202</v>
      </c>
      <c r="M282" s="18" t="s">
        <v>355</v>
      </c>
      <c r="N282" s="18" t="s">
        <v>202</v>
      </c>
      <c r="O282" s="18" t="s">
        <v>192</v>
      </c>
      <c r="P282" s="18" t="s">
        <v>203</v>
      </c>
      <c r="Q282" s="18"/>
      <c r="R282" s="17"/>
    </row>
    <row r="283" spans="1:18">
      <c r="A283" t="s">
        <v>328</v>
      </c>
      <c r="B283" s="2">
        <v>45966</v>
      </c>
      <c r="C283" t="s">
        <v>218</v>
      </c>
      <c r="D283" t="s">
        <v>202</v>
      </c>
      <c r="E283" t="s">
        <v>202</v>
      </c>
      <c r="F283" t="s">
        <v>202</v>
      </c>
      <c r="G283" t="s">
        <v>202</v>
      </c>
      <c r="H283" t="s">
        <v>202</v>
      </c>
      <c r="I283" t="s">
        <v>355</v>
      </c>
      <c r="J283" t="s">
        <v>202</v>
      </c>
      <c r="K283" t="s">
        <v>202</v>
      </c>
      <c r="L283" t="s">
        <v>202</v>
      </c>
      <c r="M283" s="19" t="s">
        <v>192</v>
      </c>
      <c r="N283" s="19" t="s">
        <v>202</v>
      </c>
      <c r="O283" s="19" t="s">
        <v>192</v>
      </c>
      <c r="P283" s="19" t="s">
        <v>203</v>
      </c>
      <c r="R283" s="17"/>
    </row>
    <row r="284" spans="1:18">
      <c r="A284" t="s">
        <v>324</v>
      </c>
      <c r="B284" s="2">
        <v>45971</v>
      </c>
      <c r="C284" t="s">
        <v>218</v>
      </c>
      <c r="D284" t="s">
        <v>202</v>
      </c>
      <c r="E284" t="s">
        <v>202</v>
      </c>
      <c r="F284" t="s">
        <v>202</v>
      </c>
      <c r="G284" t="s">
        <v>202</v>
      </c>
      <c r="H284" t="s">
        <v>202</v>
      </c>
      <c r="I284" t="s">
        <v>355</v>
      </c>
      <c r="J284" t="s">
        <v>202</v>
      </c>
      <c r="K284" t="s">
        <v>202</v>
      </c>
      <c r="L284" t="s">
        <v>202</v>
      </c>
      <c r="M284" t="s">
        <v>192</v>
      </c>
      <c r="N284" s="18" t="s">
        <v>202</v>
      </c>
      <c r="O284" s="18" t="s">
        <v>192</v>
      </c>
      <c r="P284" s="18" t="s">
        <v>203</v>
      </c>
      <c r="R284" s="17"/>
    </row>
    <row r="285" spans="1:18">
      <c r="A285" t="s">
        <v>427</v>
      </c>
      <c r="B285" s="2">
        <v>45978</v>
      </c>
      <c r="C285" t="s">
        <v>496</v>
      </c>
      <c r="D285" t="s">
        <v>192</v>
      </c>
      <c r="E285" t="s">
        <v>192</v>
      </c>
      <c r="F285" t="s">
        <v>192</v>
      </c>
      <c r="G285" t="s">
        <v>192</v>
      </c>
      <c r="H285" t="s">
        <v>355</v>
      </c>
      <c r="I285" t="s">
        <v>192</v>
      </c>
      <c r="J285" t="s">
        <v>202</v>
      </c>
      <c r="K285" t="s">
        <v>202</v>
      </c>
      <c r="L285" t="s">
        <v>355</v>
      </c>
      <c r="M285" t="s">
        <v>192</v>
      </c>
      <c r="N285" t="s">
        <v>202</v>
      </c>
      <c r="O285" t="s">
        <v>192</v>
      </c>
      <c r="P285" t="s">
        <v>203</v>
      </c>
      <c r="R285" s="17"/>
    </row>
    <row r="286" spans="1:18">
      <c r="A286" t="s">
        <v>486</v>
      </c>
      <c r="B286" s="2">
        <v>45974</v>
      </c>
      <c r="C286" t="s">
        <v>218</v>
      </c>
      <c r="D286" t="s">
        <v>202</v>
      </c>
      <c r="E286" t="s">
        <v>202</v>
      </c>
      <c r="F286" t="s">
        <v>202</v>
      </c>
      <c r="G286" t="s">
        <v>202</v>
      </c>
      <c r="H286" t="s">
        <v>202</v>
      </c>
      <c r="I286" t="s">
        <v>192</v>
      </c>
      <c r="J286" t="s">
        <v>202</v>
      </c>
      <c r="K286" t="s">
        <v>202</v>
      </c>
      <c r="L286" s="18" t="s">
        <v>202</v>
      </c>
      <c r="M286" s="18" t="s">
        <v>355</v>
      </c>
      <c r="N286" s="18" t="s">
        <v>202</v>
      </c>
      <c r="O286" s="18" t="s">
        <v>192</v>
      </c>
      <c r="P286" s="18" t="s">
        <v>336</v>
      </c>
      <c r="R286" s="17"/>
    </row>
    <row r="287" spans="1:18">
      <c r="A287" t="s">
        <v>471</v>
      </c>
      <c r="B287" s="2">
        <v>45979</v>
      </c>
      <c r="C287" t="s">
        <v>218</v>
      </c>
      <c r="D287" t="s">
        <v>202</v>
      </c>
      <c r="E287" t="s">
        <v>202</v>
      </c>
      <c r="F287" t="s">
        <v>202</v>
      </c>
      <c r="G287" t="s">
        <v>202</v>
      </c>
      <c r="H287" t="s">
        <v>202</v>
      </c>
      <c r="I287" t="s">
        <v>202</v>
      </c>
      <c r="J287" t="s">
        <v>202</v>
      </c>
      <c r="K287" t="s">
        <v>202</v>
      </c>
      <c r="L287" t="s">
        <v>202</v>
      </c>
      <c r="M287" t="s">
        <v>202</v>
      </c>
      <c r="N287" s="19" t="s">
        <v>202</v>
      </c>
      <c r="O287" s="19" t="s">
        <v>192</v>
      </c>
      <c r="P287" s="19" t="s">
        <v>336</v>
      </c>
      <c r="R287" s="17"/>
    </row>
    <row r="288" spans="1:18">
      <c r="A288" t="s">
        <v>447</v>
      </c>
      <c r="B288" s="2">
        <v>45981</v>
      </c>
      <c r="C288" t="s">
        <v>201</v>
      </c>
      <c r="D288" t="s">
        <v>202</v>
      </c>
      <c r="E288" t="s">
        <v>202</v>
      </c>
      <c r="F288" t="s">
        <v>202</v>
      </c>
      <c r="G288" t="s">
        <v>202</v>
      </c>
      <c r="H288" t="s">
        <v>202</v>
      </c>
      <c r="I288" t="s">
        <v>202</v>
      </c>
      <c r="J288" t="s">
        <v>202</v>
      </c>
      <c r="K288" t="s">
        <v>202</v>
      </c>
      <c r="L288" t="s">
        <v>202</v>
      </c>
      <c r="M288" s="18" t="s">
        <v>202</v>
      </c>
      <c r="N288" s="18" t="s">
        <v>202</v>
      </c>
      <c r="O288" s="18" t="s">
        <v>192</v>
      </c>
      <c r="P288" s="18" t="s">
        <v>203</v>
      </c>
      <c r="R288" s="17"/>
    </row>
    <row r="289" spans="1:19">
      <c r="A289" t="s">
        <v>234</v>
      </c>
      <c r="B289" s="2">
        <v>45986</v>
      </c>
      <c r="C289" t="s">
        <v>218</v>
      </c>
      <c r="D289" t="s">
        <v>202</v>
      </c>
      <c r="E289" t="s">
        <v>202</v>
      </c>
      <c r="F289" t="s">
        <v>202</v>
      </c>
      <c r="G289" t="s">
        <v>202</v>
      </c>
      <c r="H289" t="s">
        <v>202</v>
      </c>
      <c r="I289" t="s">
        <v>202</v>
      </c>
      <c r="J289" t="s">
        <v>202</v>
      </c>
      <c r="K289" t="s">
        <v>202</v>
      </c>
      <c r="L289" t="s">
        <v>202</v>
      </c>
      <c r="M289" t="s">
        <v>202</v>
      </c>
      <c r="N289" s="19" t="s">
        <v>202</v>
      </c>
      <c r="O289" s="19" t="s">
        <v>192</v>
      </c>
      <c r="P289" s="19" t="s">
        <v>203</v>
      </c>
      <c r="R289" s="17"/>
    </row>
    <row r="290" spans="1:19">
      <c r="A290" t="s">
        <v>423</v>
      </c>
      <c r="B290" s="2">
        <v>45988</v>
      </c>
      <c r="C290" t="s">
        <v>218</v>
      </c>
      <c r="D290" t="s">
        <v>202</v>
      </c>
      <c r="E290" t="s">
        <v>202</v>
      </c>
      <c r="F290" t="s">
        <v>202</v>
      </c>
      <c r="G290" t="s">
        <v>202</v>
      </c>
      <c r="H290" t="s">
        <v>202</v>
      </c>
      <c r="I290" t="s">
        <v>202</v>
      </c>
      <c r="J290" t="s">
        <v>202</v>
      </c>
      <c r="K290" t="s">
        <v>202</v>
      </c>
      <c r="L290" t="s">
        <v>202</v>
      </c>
      <c r="M290" s="18" t="s">
        <v>202</v>
      </c>
      <c r="N290" s="18" t="s">
        <v>192</v>
      </c>
      <c r="O290" s="18" t="s">
        <v>192</v>
      </c>
      <c r="P290" s="18" t="s">
        <v>336</v>
      </c>
      <c r="R290" s="17"/>
    </row>
    <row r="291" spans="1:19">
      <c r="A291" t="s">
        <v>464</v>
      </c>
      <c r="B291" s="2">
        <v>45989</v>
      </c>
      <c r="C291" t="s">
        <v>218</v>
      </c>
      <c r="D291" t="s">
        <v>202</v>
      </c>
      <c r="E291" t="s">
        <v>202</v>
      </c>
      <c r="F291" t="s">
        <v>202</v>
      </c>
      <c r="G291" t="s">
        <v>202</v>
      </c>
      <c r="H291" t="s">
        <v>202</v>
      </c>
      <c r="I291" t="s">
        <v>192</v>
      </c>
      <c r="J291" t="s">
        <v>202</v>
      </c>
      <c r="K291" t="s">
        <v>202</v>
      </c>
      <c r="L291" t="s">
        <v>202</v>
      </c>
      <c r="M291" s="19" t="s">
        <v>192</v>
      </c>
      <c r="N291" s="19" t="s">
        <v>202</v>
      </c>
      <c r="O291" s="19" t="s">
        <v>192</v>
      </c>
      <c r="P291" s="19" t="s">
        <v>336</v>
      </c>
      <c r="R291" s="17"/>
    </row>
    <row r="292" spans="1:19">
      <c r="A292" t="s">
        <v>497</v>
      </c>
      <c r="B292" s="2">
        <v>45993</v>
      </c>
      <c r="C292" t="s">
        <v>201</v>
      </c>
      <c r="D292" t="s">
        <v>202</v>
      </c>
      <c r="E292" t="s">
        <v>202</v>
      </c>
      <c r="F292" t="s">
        <v>202</v>
      </c>
      <c r="G292" t="s">
        <v>202</v>
      </c>
      <c r="H292" t="s">
        <v>202</v>
      </c>
      <c r="I292" t="s">
        <v>202</v>
      </c>
      <c r="J292" t="s">
        <v>202</v>
      </c>
      <c r="K292" t="s">
        <v>202</v>
      </c>
      <c r="L292" t="s">
        <v>202</v>
      </c>
      <c r="M292" t="s">
        <v>202</v>
      </c>
      <c r="N292" s="18" t="s">
        <v>202</v>
      </c>
      <c r="O292" s="18" t="s">
        <v>192</v>
      </c>
      <c r="P292" s="18" t="s">
        <v>336</v>
      </c>
      <c r="R292" s="17"/>
    </row>
    <row r="293" spans="1:19">
      <c r="A293" t="s">
        <v>330</v>
      </c>
      <c r="B293" s="2">
        <v>46008</v>
      </c>
      <c r="C293" t="s">
        <v>218</v>
      </c>
      <c r="D293" t="s">
        <v>202</v>
      </c>
      <c r="E293" t="s">
        <v>202</v>
      </c>
      <c r="F293" t="s">
        <v>202</v>
      </c>
      <c r="G293" t="s">
        <v>202</v>
      </c>
      <c r="H293" t="s">
        <v>202</v>
      </c>
      <c r="I293" t="s">
        <v>202</v>
      </c>
      <c r="J293" t="s">
        <v>202</v>
      </c>
      <c r="K293" t="s">
        <v>202</v>
      </c>
      <c r="L293" t="s">
        <v>498</v>
      </c>
      <c r="M293" t="s">
        <v>192</v>
      </c>
      <c r="N293" s="19" t="s">
        <v>202</v>
      </c>
      <c r="O293" s="19" t="s">
        <v>192</v>
      </c>
      <c r="P293" s="19" t="s">
        <v>203</v>
      </c>
      <c r="R293" s="17"/>
    </row>
    <row r="294" spans="1:19">
      <c r="A294" t="s">
        <v>389</v>
      </c>
      <c r="B294" s="2">
        <v>45994</v>
      </c>
      <c r="C294" t="s">
        <v>201</v>
      </c>
      <c r="D294" t="s">
        <v>202</v>
      </c>
      <c r="E294" t="s">
        <v>202</v>
      </c>
      <c r="F294" t="s">
        <v>202</v>
      </c>
      <c r="G294" t="s">
        <v>202</v>
      </c>
      <c r="H294" t="s">
        <v>202</v>
      </c>
      <c r="I294" t="s">
        <v>202</v>
      </c>
      <c r="J294" t="s">
        <v>202</v>
      </c>
      <c r="K294" t="s">
        <v>202</v>
      </c>
      <c r="L294" s="18" t="s">
        <v>202</v>
      </c>
      <c r="M294" s="18" t="s">
        <v>202</v>
      </c>
      <c r="N294" s="18" t="s">
        <v>202</v>
      </c>
      <c r="O294" s="18" t="s">
        <v>192</v>
      </c>
      <c r="P294" s="18" t="s">
        <v>203</v>
      </c>
      <c r="R294" s="17"/>
    </row>
    <row r="295" spans="1:19">
      <c r="A295" t="s">
        <v>463</v>
      </c>
      <c r="B295" s="2">
        <v>46001</v>
      </c>
      <c r="C295" t="s">
        <v>201</v>
      </c>
      <c r="D295" t="s">
        <v>202</v>
      </c>
      <c r="E295" t="s">
        <v>202</v>
      </c>
      <c r="F295" t="s">
        <v>202</v>
      </c>
      <c r="G295" t="s">
        <v>202</v>
      </c>
      <c r="H295" t="s">
        <v>202</v>
      </c>
      <c r="I295" t="s">
        <v>202</v>
      </c>
      <c r="J295" t="s">
        <v>202</v>
      </c>
      <c r="K295" s="19" t="s">
        <v>202</v>
      </c>
      <c r="L295" s="19" t="s">
        <v>202</v>
      </c>
      <c r="M295" s="19" t="s">
        <v>202</v>
      </c>
      <c r="N295" s="19" t="s">
        <v>202</v>
      </c>
      <c r="O295" s="19" t="s">
        <v>192</v>
      </c>
      <c r="P295" s="19" t="s">
        <v>336</v>
      </c>
      <c r="R295" s="17"/>
    </row>
    <row r="296" spans="1:19">
      <c r="A296" t="s">
        <v>465</v>
      </c>
      <c r="B296" s="2">
        <v>46007</v>
      </c>
      <c r="C296" t="s">
        <v>218</v>
      </c>
      <c r="D296" t="s">
        <v>202</v>
      </c>
      <c r="E296" t="s">
        <v>202</v>
      </c>
      <c r="F296" t="s">
        <v>202</v>
      </c>
      <c r="G296" t="s">
        <v>202</v>
      </c>
      <c r="H296" t="s">
        <v>202</v>
      </c>
      <c r="I296" t="s">
        <v>202</v>
      </c>
      <c r="J296" t="s">
        <v>202</v>
      </c>
      <c r="K296" s="18" t="s">
        <v>202</v>
      </c>
      <c r="L296" t="s">
        <v>202</v>
      </c>
      <c r="M296" t="s">
        <v>202</v>
      </c>
      <c r="N296" s="18" t="s">
        <v>202</v>
      </c>
      <c r="O296" s="18" t="s">
        <v>192</v>
      </c>
      <c r="P296" s="18" t="s">
        <v>336</v>
      </c>
      <c r="R296" s="17"/>
    </row>
    <row r="297" spans="1:19">
      <c r="A297" t="s">
        <v>492</v>
      </c>
      <c r="B297" s="2">
        <v>46009</v>
      </c>
      <c r="C297" t="s">
        <v>201</v>
      </c>
      <c r="D297" t="s">
        <v>202</v>
      </c>
      <c r="E297" t="s">
        <v>192</v>
      </c>
      <c r="F297" t="s">
        <v>192</v>
      </c>
      <c r="G297" t="s">
        <v>202</v>
      </c>
      <c r="H297" t="s">
        <v>202</v>
      </c>
      <c r="I297" t="s">
        <v>202</v>
      </c>
      <c r="J297" t="s">
        <v>202</v>
      </c>
      <c r="K297" t="s">
        <v>202</v>
      </c>
      <c r="L297" t="s">
        <v>202</v>
      </c>
      <c r="M297" t="s">
        <v>355</v>
      </c>
      <c r="N297" s="19" t="s">
        <v>202</v>
      </c>
      <c r="O297" s="19" t="s">
        <v>192</v>
      </c>
      <c r="P297" s="19" t="s">
        <v>203</v>
      </c>
      <c r="R297" s="17"/>
    </row>
    <row r="298" spans="1:19">
      <c r="A298" t="s">
        <v>493</v>
      </c>
      <c r="B298" s="2">
        <v>46072</v>
      </c>
      <c r="C298" t="s">
        <v>218</v>
      </c>
      <c r="D298" t="s">
        <v>202</v>
      </c>
      <c r="E298" t="s">
        <v>202</v>
      </c>
      <c r="F298" t="s">
        <v>202</v>
      </c>
      <c r="G298" t="s">
        <v>202</v>
      </c>
      <c r="H298" t="s">
        <v>355</v>
      </c>
      <c r="I298" t="s">
        <v>192</v>
      </c>
      <c r="J298" t="s">
        <v>202</v>
      </c>
      <c r="K298" t="s">
        <v>202</v>
      </c>
      <c r="L298" t="s">
        <v>192</v>
      </c>
      <c r="M298" t="s">
        <v>355</v>
      </c>
      <c r="N298" s="18" t="s">
        <v>202</v>
      </c>
      <c r="O298" s="18" t="s">
        <v>192</v>
      </c>
      <c r="P298" s="18" t="s">
        <v>203</v>
      </c>
      <c r="R298" s="17"/>
    </row>
    <row r="299" spans="1:19">
      <c r="A299" t="s">
        <v>492</v>
      </c>
      <c r="B299" s="2">
        <v>46071</v>
      </c>
      <c r="C299" t="s">
        <v>201</v>
      </c>
      <c r="D299" t="s">
        <v>192</v>
      </c>
      <c r="E299" t="s">
        <v>192</v>
      </c>
      <c r="F299" t="s">
        <v>192</v>
      </c>
      <c r="G299" t="s">
        <v>192</v>
      </c>
      <c r="H299" t="s">
        <v>192</v>
      </c>
      <c r="I299" t="s">
        <v>355</v>
      </c>
      <c r="J299" t="s">
        <v>202</v>
      </c>
      <c r="K299" t="s">
        <v>202</v>
      </c>
      <c r="L299" t="s">
        <v>202</v>
      </c>
      <c r="M299" t="s">
        <v>355</v>
      </c>
      <c r="N299" s="19" t="s">
        <v>202</v>
      </c>
      <c r="O299" s="19" t="s">
        <v>192</v>
      </c>
      <c r="P299" s="19" t="s">
        <v>203</v>
      </c>
      <c r="R299" s="17"/>
    </row>
    <row r="300" spans="1:19">
      <c r="A300" t="s">
        <v>361</v>
      </c>
      <c r="B300" s="2">
        <v>46100</v>
      </c>
      <c r="C300" t="s">
        <v>218</v>
      </c>
      <c r="D300" t="s">
        <v>202</v>
      </c>
      <c r="E300" t="s">
        <v>202</v>
      </c>
      <c r="F300" t="s">
        <v>202</v>
      </c>
      <c r="G300" t="s">
        <v>202</v>
      </c>
      <c r="H300" t="s">
        <v>202</v>
      </c>
      <c r="I300" t="s">
        <v>355</v>
      </c>
      <c r="J300" t="s">
        <v>202</v>
      </c>
      <c r="K300" t="s">
        <v>202</v>
      </c>
      <c r="L300" t="s">
        <v>202</v>
      </c>
      <c r="M300" s="18" t="s">
        <v>355</v>
      </c>
      <c r="N300" s="18" t="s">
        <v>202</v>
      </c>
      <c r="O300" s="18" t="s">
        <v>192</v>
      </c>
      <c r="P300" s="18" t="s">
        <v>203</v>
      </c>
      <c r="R300" s="17"/>
    </row>
    <row r="301" spans="1:19">
      <c r="A301" t="s">
        <v>486</v>
      </c>
      <c r="B301" s="2">
        <v>46101</v>
      </c>
      <c r="C301" t="s">
        <v>201</v>
      </c>
      <c r="D301" t="s">
        <v>202</v>
      </c>
      <c r="E301" t="s">
        <v>192</v>
      </c>
      <c r="F301" t="s">
        <v>192</v>
      </c>
      <c r="G301" t="s">
        <v>192</v>
      </c>
      <c r="H301" t="s">
        <v>202</v>
      </c>
      <c r="I301" t="s">
        <v>355</v>
      </c>
      <c r="J301" t="s">
        <v>202</v>
      </c>
      <c r="N301" s="17" t="s">
        <v>202</v>
      </c>
      <c r="O301" s="17" t="s">
        <v>192</v>
      </c>
      <c r="P301" s="17" t="s">
        <v>203</v>
      </c>
      <c r="R301" s="17"/>
      <c r="S301" t="s">
        <v>452</v>
      </c>
    </row>
    <row r="302" spans="1:19">
      <c r="A302" t="s">
        <v>332</v>
      </c>
      <c r="B302" s="2">
        <v>46104</v>
      </c>
      <c r="C302" t="s">
        <v>218</v>
      </c>
      <c r="D302" t="s">
        <v>202</v>
      </c>
      <c r="E302" t="s">
        <v>202</v>
      </c>
      <c r="F302" t="s">
        <v>202</v>
      </c>
      <c r="G302" t="s">
        <v>202</v>
      </c>
      <c r="H302" t="s">
        <v>202</v>
      </c>
      <c r="I302" t="s">
        <v>355</v>
      </c>
      <c r="J302" t="s">
        <v>202</v>
      </c>
      <c r="N302" s="17" t="s">
        <v>202</v>
      </c>
      <c r="O302" s="17" t="s">
        <v>192</v>
      </c>
      <c r="P302" s="17" t="s">
        <v>203</v>
      </c>
      <c r="R302" s="17"/>
      <c r="S302" t="s">
        <v>452</v>
      </c>
    </row>
    <row r="303" spans="1:19">
      <c r="A303" t="s">
        <v>265</v>
      </c>
      <c r="B303" s="2">
        <v>46105</v>
      </c>
      <c r="C303" t="s">
        <v>218</v>
      </c>
      <c r="D303" t="s">
        <v>202</v>
      </c>
      <c r="E303" t="s">
        <v>202</v>
      </c>
      <c r="F303" t="s">
        <v>202</v>
      </c>
      <c r="G303" t="s">
        <v>202</v>
      </c>
      <c r="H303" t="s">
        <v>202</v>
      </c>
      <c r="I303" t="s">
        <v>355</v>
      </c>
      <c r="J303" t="s">
        <v>202</v>
      </c>
      <c r="K303" t="s">
        <v>202</v>
      </c>
      <c r="L303" t="s">
        <v>202</v>
      </c>
      <c r="M303" t="s">
        <v>355</v>
      </c>
      <c r="N303" s="19" t="s">
        <v>202</v>
      </c>
      <c r="O303" s="19" t="s">
        <v>192</v>
      </c>
      <c r="P303" s="19" t="s">
        <v>203</v>
      </c>
      <c r="R303" s="17"/>
    </row>
    <row r="304" spans="1:19">
      <c r="A304" t="s">
        <v>447</v>
      </c>
      <c r="B304" s="2">
        <v>46106</v>
      </c>
      <c r="C304" t="s">
        <v>218</v>
      </c>
      <c r="D304" t="s">
        <v>202</v>
      </c>
      <c r="E304" t="s">
        <v>202</v>
      </c>
      <c r="F304" t="s">
        <v>202</v>
      </c>
      <c r="G304" t="s">
        <v>202</v>
      </c>
      <c r="H304" t="s">
        <v>202</v>
      </c>
      <c r="I304" t="s">
        <v>202</v>
      </c>
      <c r="S304" t="s">
        <v>452</v>
      </c>
    </row>
    <row r="305" spans="1:19">
      <c r="A305" t="s">
        <v>499</v>
      </c>
      <c r="B305" s="2">
        <v>46107</v>
      </c>
      <c r="C305" t="s">
        <v>218</v>
      </c>
      <c r="D305" t="s">
        <v>202</v>
      </c>
      <c r="E305" t="s">
        <v>202</v>
      </c>
      <c r="F305" t="s">
        <v>202</v>
      </c>
      <c r="G305" t="s">
        <v>202</v>
      </c>
      <c r="H305" t="s">
        <v>202</v>
      </c>
      <c r="I305" t="s">
        <v>202</v>
      </c>
      <c r="J305" t="s">
        <v>202</v>
      </c>
      <c r="N305" s="17" t="s">
        <v>202</v>
      </c>
      <c r="O305" s="17" t="s">
        <v>192</v>
      </c>
      <c r="P305" s="17" t="s">
        <v>336</v>
      </c>
      <c r="R305" s="17"/>
      <c r="S305" t="s">
        <v>452</v>
      </c>
    </row>
    <row r="306" spans="1:19">
      <c r="A306" t="s">
        <v>497</v>
      </c>
      <c r="B306" t="s">
        <v>500</v>
      </c>
      <c r="C306" t="s">
        <v>201</v>
      </c>
    </row>
    <row r="307" spans="1:19">
      <c r="A307" t="s">
        <v>221</v>
      </c>
      <c r="B307" s="2">
        <v>46121</v>
      </c>
      <c r="C307" t="s">
        <v>218</v>
      </c>
      <c r="D307" t="s">
        <v>202</v>
      </c>
      <c r="E307" t="s">
        <v>202</v>
      </c>
      <c r="F307" t="s">
        <v>202</v>
      </c>
      <c r="G307" t="s">
        <v>202</v>
      </c>
      <c r="H307" t="s">
        <v>202</v>
      </c>
      <c r="I307" t="s">
        <v>355</v>
      </c>
      <c r="J307" t="s">
        <v>202</v>
      </c>
      <c r="N307" s="17" t="s">
        <v>202</v>
      </c>
      <c r="O307" s="17" t="s">
        <v>192</v>
      </c>
      <c r="P307" s="17" t="s">
        <v>336</v>
      </c>
      <c r="R307" s="17"/>
      <c r="S307" t="s">
        <v>452</v>
      </c>
    </row>
    <row r="308" spans="1:19">
      <c r="A308" t="s">
        <v>351</v>
      </c>
      <c r="B308" s="2">
        <v>46121</v>
      </c>
      <c r="C308" t="s">
        <v>218</v>
      </c>
      <c r="D308" t="s">
        <v>202</v>
      </c>
      <c r="E308" t="s">
        <v>202</v>
      </c>
      <c r="F308" t="s">
        <v>202</v>
      </c>
      <c r="G308" t="s">
        <v>202</v>
      </c>
      <c r="H308" t="s">
        <v>202</v>
      </c>
      <c r="I308" t="s">
        <v>355</v>
      </c>
      <c r="J308" t="s">
        <v>202</v>
      </c>
      <c r="N308" s="17" t="s">
        <v>202</v>
      </c>
      <c r="O308" s="17" t="s">
        <v>192</v>
      </c>
      <c r="P308" s="17" t="s">
        <v>336</v>
      </c>
      <c r="R308" s="17"/>
      <c r="S308" t="s">
        <v>452</v>
      </c>
    </row>
    <row r="309" spans="1:19">
      <c r="A309" t="s">
        <v>220</v>
      </c>
      <c r="B309" s="2">
        <v>46125</v>
      </c>
      <c r="C309" t="s">
        <v>218</v>
      </c>
      <c r="D309" t="s">
        <v>202</v>
      </c>
      <c r="E309" t="s">
        <v>202</v>
      </c>
      <c r="F309" t="s">
        <v>202</v>
      </c>
      <c r="G309" t="s">
        <v>202</v>
      </c>
      <c r="H309" t="s">
        <v>202</v>
      </c>
      <c r="I309" t="s">
        <v>192</v>
      </c>
    </row>
    <row r="310" spans="1:19">
      <c r="A310" t="s">
        <v>466</v>
      </c>
      <c r="B310" s="2">
        <v>46132</v>
      </c>
      <c r="C310" t="s">
        <v>218</v>
      </c>
    </row>
    <row r="311" spans="1:19">
      <c r="A311" t="s">
        <v>501</v>
      </c>
      <c r="B311" s="2">
        <v>46133</v>
      </c>
      <c r="C311" t="s">
        <v>218</v>
      </c>
    </row>
    <row r="312" spans="1:19">
      <c r="A312" t="s">
        <v>502</v>
      </c>
      <c r="B312" s="2">
        <v>46134</v>
      </c>
      <c r="C312" t="s">
        <v>218</v>
      </c>
    </row>
    <row r="313" spans="1:19">
      <c r="A313" t="s">
        <v>503</v>
      </c>
      <c r="B313" s="2">
        <v>46140</v>
      </c>
      <c r="C313" t="s">
        <v>218</v>
      </c>
    </row>
    <row r="314" spans="1:19">
      <c r="A314" t="s">
        <v>504</v>
      </c>
      <c r="B314" s="2">
        <v>46141</v>
      </c>
      <c r="C314" t="s">
        <v>218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2A5C-58C6-4D19-8F4F-92873A6B7692}">
  <dimension ref="A1:I137"/>
  <sheetViews>
    <sheetView workbookViewId="0">
      <selection activeCell="E28" sqref="E28"/>
    </sheetView>
  </sheetViews>
  <sheetFormatPr baseColWidth="10" defaultColWidth="11.42578125" defaultRowHeight="15"/>
  <cols>
    <col min="1" max="1" width="11.42578125" style="24"/>
    <col min="2" max="2" width="24.42578125" bestFit="1" customWidth="1"/>
    <col min="4" max="4" width="14.42578125" customWidth="1"/>
    <col min="5" max="6" width="13.85546875" customWidth="1"/>
    <col min="7" max="8" width="10.7109375" customWidth="1"/>
    <col min="9" max="9" width="12.5703125" style="11" customWidth="1"/>
  </cols>
  <sheetData>
    <row r="1" spans="1:9" ht="30">
      <c r="A1" s="21" t="s">
        <v>0</v>
      </c>
      <c r="B1" s="7" t="s">
        <v>1</v>
      </c>
      <c r="C1" s="7" t="s">
        <v>3</v>
      </c>
      <c r="D1" s="8" t="s">
        <v>224</v>
      </c>
      <c r="E1" s="8" t="s">
        <v>222</v>
      </c>
      <c r="F1" s="8" t="s">
        <v>223</v>
      </c>
      <c r="G1" s="8" t="s">
        <v>227</v>
      </c>
      <c r="H1" s="8" t="s">
        <v>225</v>
      </c>
      <c r="I1" s="8" t="s">
        <v>228</v>
      </c>
    </row>
    <row r="2" spans="1:9">
      <c r="A2" s="22" t="s">
        <v>13</v>
      </c>
      <c r="B2" s="4" t="s">
        <v>14</v>
      </c>
      <c r="C2" s="4" t="s">
        <v>15</v>
      </c>
      <c r="D2" s="51">
        <v>44469</v>
      </c>
      <c r="E2" s="51">
        <v>44483</v>
      </c>
      <c r="F2" s="51">
        <v>44483</v>
      </c>
      <c r="G2" s="4"/>
      <c r="H2" s="4"/>
      <c r="I2" s="9"/>
    </row>
    <row r="3" spans="1:9">
      <c r="A3" s="23" t="s">
        <v>22</v>
      </c>
      <c r="B3" s="5" t="s">
        <v>23</v>
      </c>
      <c r="C3" s="5" t="s">
        <v>24</v>
      </c>
      <c r="D3" s="52">
        <v>44469</v>
      </c>
      <c r="E3" s="52"/>
      <c r="F3" s="52"/>
      <c r="G3" s="5"/>
      <c r="H3" s="5"/>
      <c r="I3" s="10"/>
    </row>
    <row r="4" spans="1:9">
      <c r="A4" s="22" t="s">
        <v>29</v>
      </c>
      <c r="B4" s="4" t="s">
        <v>30</v>
      </c>
      <c r="C4" s="4" t="s">
        <v>31</v>
      </c>
      <c r="D4" s="51">
        <v>44469</v>
      </c>
      <c r="E4" s="51">
        <v>44483</v>
      </c>
      <c r="F4" s="51">
        <v>44483</v>
      </c>
      <c r="G4" s="4"/>
      <c r="H4" s="4"/>
      <c r="I4" s="9"/>
    </row>
    <row r="5" spans="1:9">
      <c r="A5" s="23" t="s">
        <v>36</v>
      </c>
      <c r="B5" s="5" t="s">
        <v>37</v>
      </c>
      <c r="C5" s="5" t="s">
        <v>38</v>
      </c>
      <c r="D5" s="52">
        <v>44469</v>
      </c>
      <c r="E5" s="53" t="s">
        <v>316</v>
      </c>
      <c r="F5" s="53" t="s">
        <v>317</v>
      </c>
      <c r="G5" s="5"/>
      <c r="H5" s="5"/>
      <c r="I5" s="10"/>
    </row>
    <row r="6" spans="1:9">
      <c r="A6" s="22" t="s">
        <v>43</v>
      </c>
      <c r="B6" s="4" t="s">
        <v>44</v>
      </c>
      <c r="C6" s="4" t="s">
        <v>45</v>
      </c>
      <c r="D6" s="51">
        <v>44469</v>
      </c>
      <c r="E6" s="51"/>
      <c r="F6" s="51">
        <v>44483</v>
      </c>
      <c r="G6" s="4"/>
      <c r="H6" s="4"/>
      <c r="I6" s="9"/>
    </row>
    <row r="7" spans="1:9">
      <c r="A7" s="23" t="s">
        <v>50</v>
      </c>
      <c r="B7" s="5" t="s">
        <v>51</v>
      </c>
      <c r="C7" s="5" t="s">
        <v>52</v>
      </c>
      <c r="D7" s="52">
        <v>44469</v>
      </c>
      <c r="E7" s="52"/>
      <c r="F7" s="52"/>
      <c r="G7" s="5"/>
      <c r="H7" s="5"/>
      <c r="I7" s="10"/>
    </row>
    <row r="8" spans="1:9">
      <c r="A8" s="22" t="s">
        <v>56</v>
      </c>
      <c r="B8" s="4" t="s">
        <v>57</v>
      </c>
      <c r="C8" s="4" t="s">
        <v>58</v>
      </c>
      <c r="D8" s="51">
        <v>44469</v>
      </c>
      <c r="E8" s="51">
        <v>44483</v>
      </c>
      <c r="F8" s="51">
        <v>44483</v>
      </c>
      <c r="G8" s="4"/>
      <c r="H8" s="4"/>
      <c r="I8" s="9"/>
    </row>
    <row r="9" spans="1:9">
      <c r="A9" s="23" t="s">
        <v>62</v>
      </c>
      <c r="B9" s="5" t="s">
        <v>63</v>
      </c>
      <c r="C9" s="5" t="s">
        <v>64</v>
      </c>
      <c r="D9" s="52">
        <v>44469</v>
      </c>
      <c r="E9" s="52">
        <v>44489</v>
      </c>
      <c r="F9" s="52">
        <v>44489</v>
      </c>
      <c r="G9" s="5"/>
      <c r="H9" s="5"/>
      <c r="I9" s="10"/>
    </row>
    <row r="10" spans="1:9">
      <c r="A10" s="22" t="s">
        <v>68</v>
      </c>
      <c r="B10" s="4" t="s">
        <v>69</v>
      </c>
      <c r="C10" s="4" t="s">
        <v>70</v>
      </c>
      <c r="D10" s="51">
        <v>44469</v>
      </c>
      <c r="E10" s="54"/>
      <c r="F10" s="54" t="s">
        <v>318</v>
      </c>
      <c r="G10" s="4"/>
      <c r="H10" s="4"/>
      <c r="I10" s="9"/>
    </row>
    <row r="11" spans="1:9">
      <c r="A11" s="23" t="s">
        <v>76</v>
      </c>
      <c r="B11" s="5" t="s">
        <v>77</v>
      </c>
      <c r="C11" s="5" t="s">
        <v>78</v>
      </c>
      <c r="D11" s="52">
        <v>44469</v>
      </c>
      <c r="E11" s="52">
        <v>44483</v>
      </c>
      <c r="F11" s="52">
        <v>44483</v>
      </c>
      <c r="G11" s="5"/>
      <c r="H11" s="5"/>
      <c r="I11" s="10"/>
    </row>
    <row r="12" spans="1:9">
      <c r="A12" s="22" t="s">
        <v>81</v>
      </c>
      <c r="B12" s="4" t="s">
        <v>82</v>
      </c>
      <c r="C12" s="4" t="s">
        <v>83</v>
      </c>
      <c r="D12" s="51">
        <v>44469</v>
      </c>
      <c r="E12" s="51"/>
      <c r="F12" s="51"/>
      <c r="G12" s="4"/>
      <c r="H12" s="4"/>
      <c r="I12" s="9"/>
    </row>
    <row r="13" spans="1:9">
      <c r="A13" s="23" t="s">
        <v>86</v>
      </c>
      <c r="B13" s="5" t="s">
        <v>87</v>
      </c>
      <c r="C13" s="5" t="s">
        <v>88</v>
      </c>
      <c r="D13" s="52">
        <v>44469</v>
      </c>
      <c r="E13" s="52" t="s">
        <v>319</v>
      </c>
      <c r="F13" s="52"/>
      <c r="G13" s="5"/>
      <c r="H13" s="5"/>
      <c r="I13" s="10"/>
    </row>
    <row r="14" spans="1:9">
      <c r="A14" s="22" t="s">
        <v>92</v>
      </c>
      <c r="B14" s="4" t="s">
        <v>93</v>
      </c>
      <c r="C14" s="4" t="s">
        <v>94</v>
      </c>
      <c r="D14" s="51">
        <v>44469</v>
      </c>
      <c r="E14" s="51"/>
      <c r="F14" s="51">
        <v>44483</v>
      </c>
      <c r="G14" s="4"/>
      <c r="H14" s="4"/>
      <c r="I14" s="9"/>
    </row>
    <row r="15" spans="1:9">
      <c r="A15" s="23" t="s">
        <v>98</v>
      </c>
      <c r="B15" s="5" t="s">
        <v>99</v>
      </c>
      <c r="C15" s="5" t="s">
        <v>100</v>
      </c>
      <c r="D15" s="52">
        <v>44469</v>
      </c>
      <c r="E15" s="52">
        <v>44483</v>
      </c>
      <c r="F15" s="52">
        <v>44483</v>
      </c>
      <c r="G15" s="5"/>
      <c r="H15" s="5"/>
      <c r="I15" s="10"/>
    </row>
    <row r="16" spans="1:9">
      <c r="A16" s="22" t="s">
        <v>103</v>
      </c>
      <c r="B16" s="4" t="s">
        <v>104</v>
      </c>
      <c r="C16" s="4" t="s">
        <v>105</v>
      </c>
      <c r="D16" s="51">
        <v>44469</v>
      </c>
      <c r="E16" s="51">
        <v>44483</v>
      </c>
      <c r="F16" s="51">
        <v>44483</v>
      </c>
      <c r="G16" s="4"/>
      <c r="H16" s="4"/>
      <c r="I16" s="9"/>
    </row>
    <row r="17" spans="1:9">
      <c r="A17" s="23" t="s">
        <v>108</v>
      </c>
      <c r="B17" s="5" t="s">
        <v>109</v>
      </c>
      <c r="C17" s="5" t="s">
        <v>110</v>
      </c>
      <c r="D17" s="52">
        <v>44469</v>
      </c>
      <c r="E17" s="52">
        <v>44483</v>
      </c>
      <c r="F17" s="52">
        <v>44483</v>
      </c>
      <c r="G17" s="5"/>
      <c r="H17" s="5"/>
      <c r="I17" s="10"/>
    </row>
    <row r="18" spans="1:9">
      <c r="A18" s="22" t="s">
        <v>114</v>
      </c>
      <c r="B18" s="4" t="s">
        <v>115</v>
      </c>
      <c r="C18" s="4" t="s">
        <v>116</v>
      </c>
      <c r="D18" s="51">
        <v>44469</v>
      </c>
      <c r="E18" s="51"/>
      <c r="F18" s="51"/>
      <c r="G18" s="4"/>
      <c r="H18" s="4"/>
      <c r="I18" s="9"/>
    </row>
    <row r="19" spans="1:9">
      <c r="A19" s="23" t="s">
        <v>120</v>
      </c>
      <c r="B19" s="5" t="s">
        <v>121</v>
      </c>
      <c r="C19" s="5" t="s">
        <v>122</v>
      </c>
      <c r="D19" s="52">
        <v>44469</v>
      </c>
      <c r="E19" s="52"/>
      <c r="F19" s="52"/>
      <c r="G19" s="5"/>
      <c r="H19" s="5"/>
      <c r="I19" s="10"/>
    </row>
    <row r="20" spans="1:9">
      <c r="A20" s="22" t="s">
        <v>128</v>
      </c>
      <c r="B20" s="4" t="s">
        <v>129</v>
      </c>
      <c r="C20" s="4" t="s">
        <v>130</v>
      </c>
      <c r="D20" s="51">
        <v>44469</v>
      </c>
      <c r="E20" s="51"/>
      <c r="F20" s="51"/>
      <c r="G20" s="4"/>
      <c r="H20" s="4"/>
      <c r="I20" s="9"/>
    </row>
    <row r="21" spans="1:9">
      <c r="A21" s="23" t="s">
        <v>132</v>
      </c>
      <c r="B21" s="5" t="s">
        <v>133</v>
      </c>
      <c r="C21" s="5" t="s">
        <v>134</v>
      </c>
      <c r="D21" s="52">
        <v>44469</v>
      </c>
      <c r="E21" s="52">
        <v>44489</v>
      </c>
      <c r="F21" s="52">
        <v>44489</v>
      </c>
      <c r="G21" s="5"/>
      <c r="H21" s="5"/>
      <c r="I21" s="10"/>
    </row>
    <row r="22" spans="1:9">
      <c r="A22" s="22" t="s">
        <v>139</v>
      </c>
      <c r="B22" s="4" t="s">
        <v>140</v>
      </c>
      <c r="C22" s="4" t="s">
        <v>141</v>
      </c>
      <c r="D22" s="51">
        <v>44469</v>
      </c>
      <c r="E22" s="54" t="s">
        <v>320</v>
      </c>
      <c r="F22" s="54" t="s">
        <v>321</v>
      </c>
      <c r="G22" s="4"/>
      <c r="H22" s="4"/>
      <c r="I22" s="9"/>
    </row>
    <row r="23" spans="1:9">
      <c r="A23" s="23" t="s">
        <v>145</v>
      </c>
      <c r="B23" s="5" t="s">
        <v>146</v>
      </c>
      <c r="C23" s="5" t="s">
        <v>147</v>
      </c>
      <c r="D23" s="52">
        <v>44469</v>
      </c>
      <c r="E23" s="52" t="s">
        <v>319</v>
      </c>
      <c r="F23" s="52"/>
      <c r="G23" s="5"/>
      <c r="H23" s="5"/>
      <c r="I23" s="10"/>
    </row>
    <row r="24" spans="1:9">
      <c r="A24" s="22" t="s">
        <v>150</v>
      </c>
      <c r="B24" s="4" t="s">
        <v>151</v>
      </c>
      <c r="C24" s="4" t="s">
        <v>152</v>
      </c>
      <c r="D24" s="51">
        <v>44469</v>
      </c>
      <c r="E24" s="51">
        <v>44489</v>
      </c>
      <c r="F24" s="51">
        <v>44489</v>
      </c>
      <c r="G24" s="4"/>
      <c r="H24" s="4"/>
      <c r="I24" s="9"/>
    </row>
    <row r="25" spans="1:9">
      <c r="A25" s="23" t="s">
        <v>156</v>
      </c>
      <c r="B25" s="5" t="s">
        <v>157</v>
      </c>
      <c r="C25" s="5" t="s">
        <v>158</v>
      </c>
      <c r="D25" s="52">
        <v>44469</v>
      </c>
      <c r="E25" s="52">
        <v>44489</v>
      </c>
      <c r="F25" s="52">
        <v>44489</v>
      </c>
      <c r="G25" s="5"/>
      <c r="H25" s="5"/>
      <c r="I25" s="10"/>
    </row>
    <row r="26" spans="1:9">
      <c r="A26" s="22" t="s">
        <v>161</v>
      </c>
      <c r="B26" s="4" t="s">
        <v>162</v>
      </c>
      <c r="C26" s="4" t="s">
        <v>163</v>
      </c>
      <c r="D26" s="51">
        <v>44469</v>
      </c>
      <c r="E26" s="51"/>
      <c r="F26" s="51">
        <v>44489</v>
      </c>
      <c r="G26" s="4"/>
      <c r="H26" s="4"/>
      <c r="I26" s="9"/>
    </row>
    <row r="27" spans="1:9">
      <c r="A27" s="23" t="s">
        <v>167</v>
      </c>
      <c r="B27" s="5" t="s">
        <v>168</v>
      </c>
      <c r="C27" s="5" t="s">
        <v>169</v>
      </c>
      <c r="D27" s="52">
        <v>44469</v>
      </c>
      <c r="E27" s="52">
        <v>44489</v>
      </c>
      <c r="F27" s="52">
        <v>44489</v>
      </c>
      <c r="G27" s="5"/>
      <c r="H27" s="5"/>
      <c r="I27" s="10"/>
    </row>
    <row r="28" spans="1:9">
      <c r="A28" s="22" t="s">
        <v>174</v>
      </c>
      <c r="B28" s="4" t="s">
        <v>175</v>
      </c>
      <c r="C28" s="4" t="s">
        <v>176</v>
      </c>
      <c r="D28" s="51">
        <v>44469</v>
      </c>
      <c r="E28" s="51"/>
      <c r="F28" s="51">
        <v>44489</v>
      </c>
      <c r="G28" s="4"/>
      <c r="H28" s="4"/>
      <c r="I28" s="9"/>
    </row>
    <row r="29" spans="1:9">
      <c r="A29" s="23" t="s">
        <v>181</v>
      </c>
      <c r="B29" s="5" t="s">
        <v>182</v>
      </c>
      <c r="C29" s="5" t="s">
        <v>183</v>
      </c>
      <c r="D29" s="52">
        <v>44469</v>
      </c>
      <c r="E29" s="52">
        <v>44489</v>
      </c>
      <c r="F29" s="52">
        <v>44489</v>
      </c>
      <c r="G29" s="5"/>
      <c r="H29" s="5"/>
      <c r="I29" s="10"/>
    </row>
    <row r="30" spans="1:9">
      <c r="A30" s="22">
        <v>32</v>
      </c>
      <c r="B30" s="4" t="s">
        <v>298</v>
      </c>
      <c r="C30" s="4" t="s">
        <v>299</v>
      </c>
      <c r="D30" s="51">
        <v>44469</v>
      </c>
      <c r="E30" s="51"/>
      <c r="F30" s="51"/>
      <c r="G30" s="4"/>
      <c r="H30" s="4"/>
      <c r="I30" s="9"/>
    </row>
    <row r="31" spans="1:9">
      <c r="A31" s="23">
        <v>33</v>
      </c>
      <c r="B31" s="5" t="s">
        <v>302</v>
      </c>
      <c r="C31" s="5" t="s">
        <v>303</v>
      </c>
      <c r="D31" s="52">
        <v>44469</v>
      </c>
      <c r="E31" s="52">
        <v>44483</v>
      </c>
      <c r="F31" s="52">
        <v>44483</v>
      </c>
      <c r="G31" s="5"/>
      <c r="H31" s="5"/>
      <c r="I31" s="10"/>
    </row>
    <row r="32" spans="1:9">
      <c r="A32" s="22">
        <v>34</v>
      </c>
      <c r="B32" s="4" t="s">
        <v>313</v>
      </c>
      <c r="C32" s="4" t="s">
        <v>314</v>
      </c>
      <c r="D32" s="4"/>
      <c r="E32" s="4"/>
      <c r="F32" s="4"/>
      <c r="G32" s="4"/>
      <c r="H32" s="4"/>
      <c r="I32" s="9"/>
    </row>
    <row r="33" spans="1:9">
      <c r="A33" s="23"/>
      <c r="B33" s="5"/>
      <c r="C33" s="5"/>
      <c r="D33" s="5"/>
      <c r="E33" s="5"/>
      <c r="F33" s="5"/>
      <c r="G33" s="5"/>
      <c r="H33" s="5"/>
      <c r="I33" s="10"/>
    </row>
    <row r="34" spans="1:9">
      <c r="A34" s="22"/>
      <c r="B34" s="4"/>
      <c r="C34" s="4"/>
      <c r="D34" s="4"/>
      <c r="E34" s="4"/>
      <c r="F34" s="4"/>
      <c r="G34" s="4"/>
      <c r="H34" s="4"/>
      <c r="I34" s="9"/>
    </row>
    <row r="35" spans="1:9">
      <c r="A35" s="23">
        <v>999</v>
      </c>
      <c r="B35" s="5" t="s">
        <v>10</v>
      </c>
      <c r="C35" s="5" t="s">
        <v>11</v>
      </c>
      <c r="D35" s="5"/>
      <c r="E35" s="5"/>
      <c r="F35" s="5"/>
      <c r="G35" s="5"/>
      <c r="H35" s="5"/>
      <c r="I35" s="10"/>
    </row>
    <row r="36" spans="1:9">
      <c r="A36" s="22"/>
      <c r="B36" s="4"/>
      <c r="C36" s="4"/>
      <c r="D36" s="4"/>
      <c r="E36" s="4"/>
      <c r="F36" s="4"/>
      <c r="G36" s="4"/>
      <c r="H36" s="4"/>
      <c r="I36" s="9"/>
    </row>
    <row r="37" spans="1:9">
      <c r="A37" s="23"/>
      <c r="B37" s="5"/>
      <c r="C37" s="5"/>
      <c r="D37" s="5"/>
      <c r="E37" s="5"/>
      <c r="F37" s="5"/>
      <c r="G37" s="5"/>
      <c r="H37" s="5"/>
      <c r="I37" s="10"/>
    </row>
    <row r="38" spans="1:9">
      <c r="A38" s="22"/>
      <c r="B38" s="4"/>
      <c r="C38" s="4"/>
      <c r="D38" s="4"/>
      <c r="E38" s="4"/>
      <c r="F38" s="4"/>
      <c r="G38" s="4"/>
      <c r="H38" s="4"/>
      <c r="I38" s="9"/>
    </row>
    <row r="39" spans="1:9">
      <c r="A39" s="23"/>
      <c r="B39" s="5"/>
      <c r="C39" s="5"/>
      <c r="D39" s="5"/>
      <c r="E39" s="5"/>
      <c r="F39" s="5"/>
      <c r="G39" s="5"/>
      <c r="H39" s="5"/>
      <c r="I39" s="10"/>
    </row>
    <row r="40" spans="1:9">
      <c r="A40" s="22"/>
      <c r="B40" s="4"/>
      <c r="C40" s="4"/>
      <c r="D40" s="4"/>
      <c r="E40" s="4"/>
      <c r="F40" s="4"/>
      <c r="G40" s="4"/>
      <c r="H40" s="4"/>
      <c r="I40" s="9"/>
    </row>
    <row r="41" spans="1:9">
      <c r="A41" s="23"/>
      <c r="B41" s="5"/>
      <c r="C41" s="5"/>
      <c r="D41" s="5"/>
      <c r="E41" s="5"/>
      <c r="F41" s="5"/>
      <c r="G41" s="5"/>
      <c r="H41" s="5"/>
      <c r="I41" s="10"/>
    </row>
    <row r="42" spans="1:9">
      <c r="A42" s="22"/>
      <c r="B42" s="4"/>
      <c r="C42" s="4"/>
      <c r="D42" s="4"/>
      <c r="E42" s="4"/>
      <c r="F42" s="4"/>
      <c r="G42" s="4"/>
      <c r="H42" s="4"/>
      <c r="I42" s="9"/>
    </row>
    <row r="43" spans="1:9">
      <c r="A43" s="23"/>
      <c r="B43" s="5"/>
      <c r="C43" s="5"/>
      <c r="D43" s="5"/>
      <c r="E43" s="5"/>
      <c r="F43" s="5"/>
      <c r="G43" s="5"/>
      <c r="H43" s="5"/>
      <c r="I43" s="10"/>
    </row>
    <row r="44" spans="1:9">
      <c r="A44" s="22"/>
      <c r="B44" s="4"/>
      <c r="C44" s="4"/>
      <c r="D44" s="4"/>
      <c r="E44" s="4"/>
      <c r="F44" s="4"/>
      <c r="G44" s="4"/>
      <c r="H44" s="4"/>
      <c r="I44" s="9"/>
    </row>
    <row r="45" spans="1:9">
      <c r="A45" s="23"/>
      <c r="B45" s="5"/>
      <c r="C45" s="5"/>
      <c r="D45" s="5"/>
      <c r="E45" s="5"/>
      <c r="F45" s="5"/>
      <c r="G45" s="5"/>
      <c r="H45" s="5"/>
      <c r="I45" s="10"/>
    </row>
    <row r="46" spans="1:9">
      <c r="A46" s="22"/>
      <c r="B46" s="4"/>
      <c r="C46" s="4"/>
      <c r="D46" s="4"/>
      <c r="E46" s="4"/>
      <c r="F46" s="4"/>
      <c r="G46" s="4"/>
      <c r="H46" s="4"/>
      <c r="I46" s="9"/>
    </row>
    <row r="47" spans="1:9">
      <c r="A47" s="23"/>
      <c r="B47" s="5"/>
      <c r="C47" s="5"/>
      <c r="D47" s="5"/>
      <c r="E47" s="5"/>
      <c r="F47" s="5"/>
      <c r="G47" s="5"/>
      <c r="H47" s="5"/>
      <c r="I47" s="10"/>
    </row>
    <row r="48" spans="1:9">
      <c r="A48" s="22"/>
      <c r="B48" s="4"/>
      <c r="C48" s="4"/>
      <c r="D48" s="4"/>
      <c r="E48" s="4"/>
      <c r="F48" s="4"/>
      <c r="G48" s="4"/>
      <c r="H48" s="4"/>
      <c r="I48" s="9"/>
    </row>
    <row r="49" spans="1:9">
      <c r="A49" s="23"/>
      <c r="B49" s="5"/>
      <c r="C49" s="5"/>
      <c r="D49" s="5"/>
      <c r="E49" s="5"/>
      <c r="F49" s="5"/>
      <c r="G49" s="5"/>
      <c r="H49" s="5"/>
      <c r="I49" s="10"/>
    </row>
    <row r="50" spans="1:9">
      <c r="A50" s="22"/>
      <c r="B50" s="4"/>
      <c r="C50" s="4"/>
      <c r="D50" s="4"/>
      <c r="E50" s="4"/>
      <c r="F50" s="4"/>
      <c r="G50" s="4"/>
      <c r="H50" s="4"/>
      <c r="I50" s="9"/>
    </row>
    <row r="51" spans="1:9">
      <c r="A51" s="23"/>
      <c r="B51" s="5"/>
      <c r="C51" s="5"/>
      <c r="D51" s="5"/>
      <c r="E51" s="5"/>
      <c r="F51" s="5"/>
      <c r="G51" s="5"/>
      <c r="H51" s="5"/>
      <c r="I51" s="10"/>
    </row>
    <row r="52" spans="1:9">
      <c r="A52" s="22"/>
      <c r="B52" s="4"/>
      <c r="C52" s="4"/>
      <c r="D52" s="4"/>
      <c r="E52" s="4"/>
      <c r="F52" s="4"/>
      <c r="G52" s="4"/>
      <c r="H52" s="4"/>
      <c r="I52" s="9"/>
    </row>
    <row r="53" spans="1:9">
      <c r="A53" s="23"/>
      <c r="B53" s="5"/>
      <c r="C53" s="5"/>
      <c r="D53" s="5"/>
      <c r="E53" s="5"/>
      <c r="F53" s="5"/>
      <c r="G53" s="5"/>
      <c r="H53" s="5"/>
      <c r="I53" s="10"/>
    </row>
    <row r="54" spans="1:9">
      <c r="A54" s="22"/>
      <c r="B54" s="4"/>
      <c r="C54" s="4"/>
      <c r="D54" s="4"/>
      <c r="E54" s="4"/>
      <c r="F54" s="4"/>
      <c r="G54" s="4"/>
      <c r="H54" s="4"/>
      <c r="I54" s="9"/>
    </row>
    <row r="55" spans="1:9">
      <c r="A55" s="23"/>
      <c r="B55" s="5"/>
      <c r="C55" s="5"/>
      <c r="D55" s="5"/>
      <c r="E55" s="5"/>
      <c r="F55" s="5"/>
      <c r="G55" s="5"/>
      <c r="H55" s="5"/>
      <c r="I55" s="10"/>
    </row>
    <row r="56" spans="1:9">
      <c r="A56" s="22"/>
      <c r="B56" s="4"/>
      <c r="C56" s="4"/>
      <c r="D56" s="4"/>
      <c r="E56" s="4"/>
      <c r="F56" s="4"/>
      <c r="G56" s="4"/>
      <c r="H56" s="4"/>
      <c r="I56" s="9"/>
    </row>
    <row r="57" spans="1:9">
      <c r="A57" s="23"/>
      <c r="B57" s="5"/>
      <c r="C57" s="5"/>
      <c r="D57" s="5"/>
      <c r="E57" s="5"/>
      <c r="F57" s="5"/>
      <c r="G57" s="5"/>
      <c r="H57" s="5"/>
      <c r="I57" s="10"/>
    </row>
    <row r="58" spans="1:9">
      <c r="A58" s="22"/>
      <c r="B58" s="4"/>
      <c r="C58" s="4"/>
      <c r="D58" s="4"/>
      <c r="E58" s="4"/>
      <c r="F58" s="4"/>
      <c r="G58" s="4"/>
      <c r="H58" s="4"/>
      <c r="I58" s="9"/>
    </row>
    <row r="59" spans="1:9">
      <c r="A59" s="23"/>
      <c r="B59" s="5"/>
      <c r="C59" s="5"/>
      <c r="D59" s="5"/>
      <c r="E59" s="5"/>
      <c r="F59" s="5"/>
      <c r="G59" s="5"/>
      <c r="H59" s="5"/>
      <c r="I59" s="10"/>
    </row>
    <row r="60" spans="1:9">
      <c r="A60" s="22"/>
      <c r="B60" s="4"/>
      <c r="C60" s="4"/>
      <c r="D60" s="4"/>
      <c r="E60" s="4"/>
      <c r="F60" s="4"/>
      <c r="G60" s="4"/>
      <c r="H60" s="4"/>
      <c r="I60" s="9"/>
    </row>
    <row r="61" spans="1:9">
      <c r="A61" s="23"/>
      <c r="B61" s="5"/>
      <c r="C61" s="5"/>
      <c r="D61" s="5"/>
      <c r="E61" s="5"/>
      <c r="F61" s="5"/>
      <c r="G61" s="5"/>
      <c r="H61" s="5"/>
      <c r="I61" s="10"/>
    </row>
    <row r="62" spans="1:9">
      <c r="A62" s="22"/>
      <c r="B62" s="4"/>
      <c r="C62" s="4"/>
      <c r="D62" s="4"/>
      <c r="E62" s="4"/>
      <c r="F62" s="4"/>
      <c r="G62" s="4"/>
      <c r="H62" s="4"/>
      <c r="I62" s="9"/>
    </row>
    <row r="63" spans="1:9">
      <c r="A63" s="23"/>
      <c r="B63" s="5"/>
      <c r="C63" s="5"/>
      <c r="D63" s="5"/>
      <c r="E63" s="5"/>
      <c r="F63" s="5"/>
      <c r="G63" s="5"/>
      <c r="H63" s="5"/>
      <c r="I63" s="10"/>
    </row>
    <row r="64" spans="1:9">
      <c r="A64" s="22"/>
      <c r="B64" s="4"/>
      <c r="C64" s="4"/>
      <c r="D64" s="4"/>
      <c r="E64" s="4"/>
      <c r="F64" s="4"/>
      <c r="G64" s="4"/>
      <c r="H64" s="4"/>
      <c r="I64" s="9"/>
    </row>
    <row r="65" spans="1:9">
      <c r="A65" s="23"/>
      <c r="B65" s="5"/>
      <c r="C65" s="5"/>
      <c r="D65" s="5"/>
      <c r="E65" s="5"/>
      <c r="F65" s="5"/>
      <c r="G65" s="5"/>
      <c r="H65" s="5"/>
      <c r="I65" s="10"/>
    </row>
    <row r="66" spans="1:9">
      <c r="A66" s="22"/>
      <c r="B66" s="4"/>
      <c r="C66" s="4"/>
      <c r="D66" s="4"/>
      <c r="E66" s="4"/>
      <c r="F66" s="4"/>
      <c r="G66" s="4"/>
      <c r="H66" s="4"/>
      <c r="I66" s="9"/>
    </row>
    <row r="67" spans="1:9">
      <c r="A67" s="23"/>
      <c r="B67" s="5"/>
      <c r="C67" s="5"/>
      <c r="D67" s="5"/>
      <c r="E67" s="5"/>
      <c r="F67" s="5"/>
      <c r="G67" s="5"/>
      <c r="H67" s="5"/>
      <c r="I67" s="10"/>
    </row>
    <row r="68" spans="1:9">
      <c r="A68" s="22"/>
      <c r="B68" s="4"/>
      <c r="C68" s="4"/>
      <c r="D68" s="4"/>
      <c r="E68" s="4"/>
      <c r="F68" s="4"/>
      <c r="G68" s="4"/>
      <c r="H68" s="4"/>
      <c r="I68" s="9"/>
    </row>
    <row r="69" spans="1:9">
      <c r="A69" s="23"/>
      <c r="B69" s="5"/>
      <c r="C69" s="5"/>
      <c r="D69" s="5"/>
      <c r="E69" s="5"/>
      <c r="F69" s="5"/>
      <c r="G69" s="5"/>
      <c r="H69" s="5"/>
      <c r="I69" s="10"/>
    </row>
    <row r="70" spans="1:9">
      <c r="A70" s="22"/>
      <c r="B70" s="4"/>
      <c r="C70" s="4"/>
      <c r="D70" s="4"/>
      <c r="E70" s="4"/>
      <c r="F70" s="4"/>
      <c r="G70" s="4"/>
      <c r="H70" s="4"/>
      <c r="I70" s="9"/>
    </row>
    <row r="71" spans="1:9">
      <c r="A71" s="23"/>
      <c r="B71" s="5"/>
      <c r="C71" s="5"/>
      <c r="D71" s="5"/>
      <c r="E71" s="5"/>
      <c r="F71" s="5"/>
      <c r="G71" s="5"/>
      <c r="H71" s="5"/>
      <c r="I71" s="10"/>
    </row>
    <row r="72" spans="1:9">
      <c r="A72" s="22"/>
      <c r="B72" s="4"/>
      <c r="C72" s="4"/>
      <c r="D72" s="4"/>
      <c r="E72" s="4"/>
      <c r="F72" s="4"/>
      <c r="G72" s="4"/>
      <c r="H72" s="4"/>
      <c r="I72" s="9"/>
    </row>
    <row r="73" spans="1:9">
      <c r="A73" s="23"/>
      <c r="B73" s="5"/>
      <c r="C73" s="5"/>
      <c r="D73" s="5"/>
      <c r="E73" s="5"/>
      <c r="F73" s="5"/>
      <c r="G73" s="5"/>
      <c r="H73" s="5"/>
      <c r="I73" s="10"/>
    </row>
    <row r="74" spans="1:9">
      <c r="A74" s="22"/>
      <c r="B74" s="4"/>
      <c r="C74" s="4"/>
      <c r="D74" s="4"/>
      <c r="E74" s="4"/>
      <c r="F74" s="4"/>
      <c r="G74" s="4"/>
      <c r="H74" s="4"/>
      <c r="I74" s="9"/>
    </row>
    <row r="75" spans="1:9">
      <c r="A75" s="23"/>
      <c r="B75" s="5"/>
      <c r="C75" s="5"/>
      <c r="D75" s="5"/>
      <c r="E75" s="5"/>
      <c r="F75" s="5"/>
      <c r="G75" s="5"/>
      <c r="H75" s="5"/>
      <c r="I75" s="10"/>
    </row>
    <row r="76" spans="1:9">
      <c r="A76" s="22"/>
      <c r="B76" s="4"/>
      <c r="C76" s="4"/>
      <c r="D76" s="4"/>
      <c r="E76" s="4"/>
      <c r="F76" s="4"/>
      <c r="G76" s="4"/>
      <c r="H76" s="4"/>
      <c r="I76" s="9"/>
    </row>
    <row r="77" spans="1:9">
      <c r="A77" s="23"/>
      <c r="B77" s="5"/>
      <c r="C77" s="5"/>
      <c r="D77" s="5"/>
      <c r="E77" s="5"/>
      <c r="F77" s="5"/>
      <c r="G77" s="5"/>
      <c r="H77" s="5"/>
      <c r="I77" s="10"/>
    </row>
    <row r="78" spans="1:9">
      <c r="A78" s="22"/>
      <c r="B78" s="4"/>
      <c r="C78" s="4"/>
      <c r="D78" s="4"/>
      <c r="E78" s="4"/>
      <c r="F78" s="4"/>
      <c r="G78" s="4"/>
      <c r="H78" s="4"/>
      <c r="I78" s="9"/>
    </row>
    <row r="79" spans="1:9">
      <c r="A79" s="23"/>
      <c r="B79" s="5"/>
      <c r="C79" s="5"/>
      <c r="D79" s="5"/>
      <c r="E79" s="5"/>
      <c r="F79" s="5"/>
      <c r="G79" s="5"/>
      <c r="H79" s="5"/>
      <c r="I79" s="10"/>
    </row>
    <row r="80" spans="1:9">
      <c r="A80" s="22"/>
      <c r="B80" s="4"/>
      <c r="C80" s="4"/>
      <c r="D80" s="4"/>
      <c r="E80" s="4"/>
      <c r="F80" s="4"/>
      <c r="G80" s="4"/>
      <c r="H80" s="4"/>
      <c r="I80" s="9"/>
    </row>
    <row r="81" spans="1:9">
      <c r="A81" s="23"/>
      <c r="B81" s="5"/>
      <c r="C81" s="5"/>
      <c r="D81" s="5"/>
      <c r="E81" s="5"/>
      <c r="F81" s="5"/>
      <c r="G81" s="5"/>
      <c r="H81" s="5"/>
      <c r="I81" s="10"/>
    </row>
    <row r="82" spans="1:9">
      <c r="A82" s="22"/>
      <c r="B82" s="4"/>
      <c r="C82" s="4"/>
      <c r="D82" s="4"/>
      <c r="E82" s="4"/>
      <c r="F82" s="4"/>
      <c r="G82" s="4"/>
      <c r="H82" s="4"/>
      <c r="I82" s="9"/>
    </row>
    <row r="83" spans="1:9">
      <c r="A83" s="23"/>
      <c r="B83" s="5"/>
      <c r="C83" s="5"/>
      <c r="D83" s="5"/>
      <c r="E83" s="5"/>
      <c r="F83" s="5"/>
      <c r="G83" s="5"/>
      <c r="H83" s="5"/>
      <c r="I83" s="10"/>
    </row>
    <row r="84" spans="1:9">
      <c r="A84" s="22"/>
      <c r="B84" s="4"/>
      <c r="C84" s="4"/>
      <c r="D84" s="4"/>
      <c r="E84" s="4"/>
      <c r="F84" s="4"/>
      <c r="G84" s="4"/>
      <c r="H84" s="4"/>
      <c r="I84" s="9"/>
    </row>
    <row r="85" spans="1:9">
      <c r="A85" s="23"/>
      <c r="B85" s="5"/>
      <c r="C85" s="5"/>
      <c r="D85" s="5"/>
      <c r="E85" s="5"/>
      <c r="F85" s="5"/>
      <c r="G85" s="5"/>
      <c r="H85" s="5"/>
      <c r="I85" s="10"/>
    </row>
    <row r="86" spans="1:9">
      <c r="A86" s="22"/>
      <c r="B86" s="4"/>
      <c r="C86" s="4"/>
      <c r="D86" s="4"/>
      <c r="E86" s="4"/>
      <c r="F86" s="4"/>
      <c r="G86" s="4"/>
      <c r="H86" s="4"/>
      <c r="I86" s="9"/>
    </row>
    <row r="87" spans="1:9">
      <c r="A87" s="23"/>
      <c r="B87" s="5"/>
      <c r="C87" s="5"/>
      <c r="D87" s="5"/>
      <c r="E87" s="5"/>
      <c r="F87" s="5"/>
      <c r="G87" s="5"/>
      <c r="H87" s="5"/>
      <c r="I87" s="10"/>
    </row>
    <row r="88" spans="1:9">
      <c r="A88" s="22"/>
      <c r="B88" s="4"/>
      <c r="C88" s="4"/>
      <c r="D88" s="4"/>
      <c r="E88" s="4"/>
      <c r="F88" s="4"/>
      <c r="G88" s="4"/>
      <c r="H88" s="4"/>
      <c r="I88" s="9"/>
    </row>
    <row r="89" spans="1:9">
      <c r="A89" s="23"/>
      <c r="B89" s="5"/>
      <c r="C89" s="5"/>
      <c r="D89" s="5"/>
      <c r="E89" s="5"/>
      <c r="F89" s="5"/>
      <c r="G89" s="5"/>
      <c r="H89" s="5"/>
      <c r="I89" s="10"/>
    </row>
    <row r="90" spans="1:9">
      <c r="A90" s="22"/>
      <c r="B90" s="4"/>
      <c r="C90" s="4"/>
      <c r="D90" s="4"/>
      <c r="E90" s="4"/>
      <c r="F90" s="4"/>
      <c r="G90" s="4"/>
      <c r="H90" s="4"/>
      <c r="I90" s="9"/>
    </row>
    <row r="91" spans="1:9">
      <c r="A91" s="23"/>
      <c r="B91" s="5"/>
      <c r="C91" s="5"/>
      <c r="D91" s="5"/>
      <c r="E91" s="5"/>
      <c r="F91" s="5"/>
      <c r="G91" s="5"/>
      <c r="H91" s="5"/>
      <c r="I91" s="10"/>
    </row>
    <row r="92" spans="1:9">
      <c r="A92" s="22"/>
      <c r="B92" s="4"/>
      <c r="C92" s="4"/>
      <c r="D92" s="4"/>
      <c r="E92" s="4"/>
      <c r="F92" s="4"/>
      <c r="G92" s="4"/>
      <c r="H92" s="4"/>
      <c r="I92" s="9"/>
    </row>
    <row r="93" spans="1:9">
      <c r="A93" s="23"/>
      <c r="B93" s="5"/>
      <c r="C93" s="5"/>
      <c r="D93" s="5"/>
      <c r="E93" s="5"/>
      <c r="F93" s="5"/>
      <c r="G93" s="5"/>
      <c r="H93" s="5"/>
      <c r="I93" s="10"/>
    </row>
    <row r="94" spans="1:9">
      <c r="A94" s="22"/>
      <c r="B94" s="4"/>
      <c r="C94" s="4"/>
      <c r="D94" s="4"/>
      <c r="E94" s="4"/>
      <c r="F94" s="4"/>
      <c r="G94" s="4"/>
      <c r="H94" s="4"/>
      <c r="I94" s="9"/>
    </row>
    <row r="95" spans="1:9">
      <c r="A95" s="23"/>
      <c r="B95" s="5"/>
      <c r="C95" s="5"/>
      <c r="D95" s="5"/>
      <c r="E95" s="5"/>
      <c r="F95" s="5"/>
      <c r="G95" s="5"/>
      <c r="H95" s="5"/>
      <c r="I95" s="10"/>
    </row>
    <row r="96" spans="1:9">
      <c r="A96" s="22"/>
      <c r="B96" s="4"/>
      <c r="C96" s="4"/>
      <c r="D96" s="4"/>
      <c r="E96" s="4"/>
      <c r="F96" s="4"/>
      <c r="G96" s="4"/>
      <c r="H96" s="4"/>
      <c r="I96" s="9"/>
    </row>
    <row r="97" spans="1:9">
      <c r="A97" s="23"/>
      <c r="B97" s="5"/>
      <c r="C97" s="5"/>
      <c r="D97" s="5"/>
      <c r="E97" s="5"/>
      <c r="F97" s="5"/>
      <c r="G97" s="5"/>
      <c r="H97" s="5"/>
      <c r="I97" s="10"/>
    </row>
    <row r="98" spans="1:9">
      <c r="A98" s="22"/>
      <c r="B98" s="4"/>
      <c r="C98" s="4"/>
      <c r="D98" s="4"/>
      <c r="E98" s="4"/>
      <c r="F98" s="4"/>
      <c r="G98" s="4"/>
      <c r="H98" s="4"/>
      <c r="I98" s="9"/>
    </row>
    <row r="99" spans="1:9">
      <c r="A99" s="23"/>
      <c r="B99" s="5"/>
      <c r="C99" s="5"/>
      <c r="D99" s="5"/>
      <c r="E99" s="5"/>
      <c r="F99" s="5"/>
      <c r="G99" s="5"/>
      <c r="H99" s="5"/>
      <c r="I99" s="10"/>
    </row>
    <row r="100" spans="1:9">
      <c r="A100" s="22"/>
      <c r="B100" s="4"/>
      <c r="C100" s="4"/>
      <c r="D100" s="4"/>
      <c r="E100" s="4"/>
      <c r="F100" s="4"/>
      <c r="G100" s="4"/>
      <c r="H100" s="4"/>
      <c r="I100" s="9"/>
    </row>
    <row r="101" spans="1:9">
      <c r="A101" s="23"/>
      <c r="B101" s="5"/>
      <c r="C101" s="5"/>
      <c r="D101" s="5"/>
      <c r="E101" s="5"/>
      <c r="F101" s="5"/>
      <c r="G101" s="5"/>
      <c r="H101" s="5"/>
      <c r="I101" s="10"/>
    </row>
    <row r="102" spans="1:9">
      <c r="A102" s="22"/>
      <c r="B102" s="4"/>
      <c r="C102" s="4"/>
      <c r="D102" s="4"/>
      <c r="E102" s="4"/>
      <c r="F102" s="4"/>
      <c r="G102" s="4"/>
      <c r="H102" s="4"/>
      <c r="I102" s="9"/>
    </row>
    <row r="103" spans="1:9">
      <c r="A103" s="23"/>
      <c r="B103" s="5"/>
      <c r="C103" s="5"/>
      <c r="D103" s="5"/>
      <c r="E103" s="5"/>
      <c r="F103" s="5"/>
      <c r="G103" s="5"/>
      <c r="H103" s="5"/>
      <c r="I103" s="10"/>
    </row>
    <row r="104" spans="1:9">
      <c r="A104" s="22"/>
      <c r="B104" s="4"/>
      <c r="C104" s="4"/>
      <c r="D104" s="4"/>
      <c r="E104" s="4"/>
      <c r="F104" s="4"/>
      <c r="G104" s="4"/>
      <c r="H104" s="4"/>
      <c r="I104" s="9"/>
    </row>
    <row r="105" spans="1:9">
      <c r="A105" s="23"/>
      <c r="B105" s="5"/>
      <c r="C105" s="5"/>
      <c r="D105" s="5"/>
      <c r="E105" s="5"/>
      <c r="F105" s="5"/>
      <c r="G105" s="5"/>
      <c r="H105" s="5"/>
      <c r="I105" s="10"/>
    </row>
    <row r="106" spans="1:9">
      <c r="A106" s="22"/>
      <c r="B106" s="4"/>
      <c r="C106" s="4"/>
      <c r="D106" s="4"/>
      <c r="E106" s="4"/>
      <c r="F106" s="4"/>
      <c r="G106" s="4"/>
      <c r="H106" s="4"/>
      <c r="I106" s="9"/>
    </row>
    <row r="107" spans="1:9">
      <c r="A107" s="23"/>
      <c r="B107" s="5"/>
      <c r="C107" s="5"/>
      <c r="D107" s="5"/>
      <c r="E107" s="5"/>
      <c r="F107" s="5"/>
      <c r="G107" s="5"/>
      <c r="H107" s="5"/>
      <c r="I107" s="10"/>
    </row>
    <row r="108" spans="1:9">
      <c r="A108" s="22"/>
      <c r="B108" s="4"/>
      <c r="C108" s="4"/>
      <c r="D108" s="4"/>
      <c r="E108" s="4"/>
      <c r="F108" s="4"/>
      <c r="G108" s="4"/>
      <c r="H108" s="4"/>
      <c r="I108" s="9"/>
    </row>
    <row r="109" spans="1:9">
      <c r="A109" s="23"/>
      <c r="B109" s="5"/>
      <c r="C109" s="5"/>
      <c r="D109" s="5"/>
      <c r="E109" s="5"/>
      <c r="F109" s="5"/>
      <c r="G109" s="5"/>
      <c r="H109" s="5"/>
      <c r="I109" s="10"/>
    </row>
    <row r="110" spans="1:9">
      <c r="A110" s="22"/>
      <c r="B110" s="4"/>
      <c r="C110" s="4"/>
      <c r="D110" s="4"/>
      <c r="E110" s="4"/>
      <c r="F110" s="4"/>
      <c r="G110" s="4"/>
      <c r="H110" s="4"/>
      <c r="I110" s="9"/>
    </row>
    <row r="111" spans="1:9">
      <c r="A111" s="23"/>
      <c r="B111" s="5"/>
      <c r="C111" s="5"/>
      <c r="D111" s="5"/>
      <c r="E111" s="5"/>
      <c r="F111" s="5"/>
      <c r="G111" s="5"/>
      <c r="H111" s="5"/>
      <c r="I111" s="10"/>
    </row>
    <row r="112" spans="1:9">
      <c r="A112" s="22"/>
      <c r="B112" s="4"/>
      <c r="C112" s="4"/>
      <c r="D112" s="4"/>
      <c r="E112" s="4"/>
      <c r="F112" s="4"/>
      <c r="G112" s="4"/>
      <c r="H112" s="4"/>
      <c r="I112" s="9"/>
    </row>
    <row r="113" spans="1:9">
      <c r="A113" s="23"/>
      <c r="B113" s="5"/>
      <c r="C113" s="5"/>
      <c r="D113" s="5"/>
      <c r="E113" s="5"/>
      <c r="F113" s="5"/>
      <c r="G113" s="5"/>
      <c r="H113" s="5"/>
      <c r="I113" s="10"/>
    </row>
    <row r="114" spans="1:9">
      <c r="A114" s="22"/>
      <c r="B114" s="4"/>
      <c r="C114" s="4"/>
      <c r="D114" s="4"/>
      <c r="E114" s="4"/>
      <c r="F114" s="4"/>
      <c r="G114" s="4"/>
      <c r="H114" s="4"/>
      <c r="I114" s="9"/>
    </row>
    <row r="115" spans="1:9">
      <c r="A115" s="23"/>
      <c r="B115" s="5"/>
      <c r="C115" s="5"/>
      <c r="D115" s="5"/>
      <c r="E115" s="5"/>
      <c r="F115" s="5"/>
      <c r="G115" s="5"/>
      <c r="H115" s="5"/>
      <c r="I115" s="10"/>
    </row>
    <row r="116" spans="1:9">
      <c r="A116" s="22"/>
      <c r="B116" s="4"/>
      <c r="C116" s="4"/>
      <c r="D116" s="4"/>
      <c r="E116" s="4"/>
      <c r="F116" s="4"/>
      <c r="G116" s="4"/>
      <c r="H116" s="4"/>
      <c r="I116" s="9"/>
    </row>
    <row r="117" spans="1:9">
      <c r="A117" s="23"/>
      <c r="B117" s="5"/>
      <c r="C117" s="5"/>
      <c r="D117" s="5"/>
      <c r="E117" s="5"/>
      <c r="F117" s="5"/>
      <c r="G117" s="5"/>
      <c r="H117" s="5"/>
      <c r="I117" s="10"/>
    </row>
    <row r="118" spans="1:9">
      <c r="A118" s="22"/>
      <c r="B118" s="4"/>
      <c r="C118" s="4"/>
      <c r="D118" s="4"/>
      <c r="E118" s="4"/>
      <c r="F118" s="4"/>
      <c r="G118" s="4"/>
      <c r="H118" s="4"/>
      <c r="I118" s="9"/>
    </row>
    <row r="119" spans="1:9">
      <c r="A119" s="23"/>
      <c r="B119" s="5"/>
      <c r="C119" s="5"/>
      <c r="D119" s="5"/>
      <c r="E119" s="5"/>
      <c r="F119" s="5"/>
      <c r="G119" s="5"/>
      <c r="H119" s="5"/>
      <c r="I119" s="10"/>
    </row>
    <row r="120" spans="1:9">
      <c r="A120" s="22"/>
      <c r="B120" s="4"/>
      <c r="C120" s="4"/>
      <c r="D120" s="4"/>
      <c r="E120" s="4"/>
      <c r="F120" s="4"/>
      <c r="G120" s="4"/>
      <c r="H120" s="4"/>
      <c r="I120" s="9"/>
    </row>
    <row r="121" spans="1:9">
      <c r="A121" s="23"/>
      <c r="B121" s="5"/>
      <c r="C121" s="5"/>
      <c r="D121" s="5"/>
      <c r="E121" s="5"/>
      <c r="F121" s="5"/>
      <c r="G121" s="5"/>
      <c r="H121" s="5"/>
      <c r="I121" s="10"/>
    </row>
    <row r="122" spans="1:9">
      <c r="A122" s="22"/>
      <c r="B122" s="4"/>
      <c r="C122" s="4"/>
      <c r="D122" s="4"/>
      <c r="E122" s="4"/>
      <c r="F122" s="4"/>
      <c r="G122" s="4"/>
      <c r="H122" s="4"/>
      <c r="I122" s="9"/>
    </row>
    <row r="123" spans="1:9">
      <c r="A123" s="23"/>
      <c r="B123" s="5"/>
      <c r="C123" s="5"/>
      <c r="D123" s="5"/>
      <c r="E123" s="5"/>
      <c r="F123" s="5"/>
      <c r="G123" s="5"/>
      <c r="H123" s="5"/>
      <c r="I123" s="10"/>
    </row>
    <row r="124" spans="1:9">
      <c r="A124" s="22"/>
      <c r="B124" s="4"/>
      <c r="C124" s="4"/>
      <c r="D124" s="4"/>
      <c r="E124" s="4"/>
      <c r="F124" s="4"/>
      <c r="G124" s="4"/>
      <c r="H124" s="4"/>
      <c r="I124" s="9"/>
    </row>
    <row r="125" spans="1:9">
      <c r="A125" s="23"/>
      <c r="B125" s="5"/>
      <c r="C125" s="5"/>
      <c r="D125" s="5"/>
      <c r="E125" s="5"/>
      <c r="F125" s="5"/>
      <c r="G125" s="5"/>
      <c r="H125" s="5"/>
      <c r="I125" s="10"/>
    </row>
    <row r="126" spans="1:9">
      <c r="A126" s="22"/>
      <c r="B126" s="4"/>
      <c r="C126" s="4"/>
      <c r="D126" s="4"/>
      <c r="E126" s="4"/>
      <c r="F126" s="4"/>
      <c r="G126" s="4"/>
      <c r="H126" s="4"/>
      <c r="I126" s="9"/>
    </row>
    <row r="127" spans="1:9">
      <c r="A127" s="23"/>
      <c r="B127" s="5"/>
      <c r="C127" s="5"/>
      <c r="D127" s="5"/>
      <c r="E127" s="5"/>
      <c r="F127" s="5"/>
      <c r="G127" s="5"/>
      <c r="H127" s="5"/>
      <c r="I127" s="10"/>
    </row>
    <row r="128" spans="1:9">
      <c r="A128" s="22"/>
      <c r="B128" s="4"/>
      <c r="C128" s="4"/>
      <c r="D128" s="4"/>
      <c r="E128" s="4"/>
      <c r="F128" s="4"/>
      <c r="G128" s="4"/>
      <c r="H128" s="4"/>
      <c r="I128" s="9"/>
    </row>
    <row r="129" spans="1:9">
      <c r="A129" s="23"/>
      <c r="B129" s="5"/>
      <c r="C129" s="5"/>
      <c r="D129" s="5"/>
      <c r="E129" s="5"/>
      <c r="F129" s="5"/>
      <c r="G129" s="5"/>
      <c r="H129" s="5"/>
      <c r="I129" s="10"/>
    </row>
    <row r="130" spans="1:9">
      <c r="A130" s="22"/>
      <c r="B130" s="4"/>
      <c r="C130" s="4"/>
      <c r="D130" s="4"/>
      <c r="E130" s="4"/>
      <c r="F130" s="4"/>
      <c r="G130" s="4"/>
      <c r="H130" s="4"/>
      <c r="I130" s="9"/>
    </row>
    <row r="131" spans="1:9">
      <c r="A131" s="23"/>
      <c r="B131" s="5"/>
      <c r="C131" s="5"/>
      <c r="D131" s="5"/>
      <c r="E131" s="5"/>
      <c r="F131" s="5"/>
      <c r="G131" s="5"/>
      <c r="H131" s="5"/>
      <c r="I131" s="10"/>
    </row>
    <row r="132" spans="1:9">
      <c r="A132" s="22"/>
      <c r="B132" s="4"/>
      <c r="C132" s="4"/>
      <c r="D132" s="4"/>
      <c r="E132" s="4"/>
      <c r="F132" s="4"/>
      <c r="G132" s="4"/>
      <c r="H132" s="4"/>
      <c r="I132" s="9"/>
    </row>
    <row r="133" spans="1:9">
      <c r="A133" s="23"/>
      <c r="B133" s="5"/>
      <c r="C133" s="5"/>
      <c r="D133" s="5"/>
      <c r="E133" s="5"/>
      <c r="F133" s="5"/>
      <c r="G133" s="5"/>
      <c r="H133" s="5"/>
      <c r="I133" s="10"/>
    </row>
    <row r="134" spans="1:9">
      <c r="A134" s="22"/>
      <c r="B134" s="4"/>
      <c r="C134" s="4"/>
      <c r="D134" s="4"/>
      <c r="E134" s="4"/>
      <c r="F134" s="4"/>
      <c r="G134" s="4"/>
      <c r="H134" s="4"/>
      <c r="I134" s="9"/>
    </row>
    <row r="135" spans="1:9">
      <c r="A135" s="23"/>
      <c r="B135" s="5"/>
      <c r="C135" s="5"/>
      <c r="D135" s="5"/>
      <c r="E135" s="5"/>
      <c r="F135" s="5"/>
      <c r="G135" s="5"/>
      <c r="H135" s="5"/>
      <c r="I135" s="10"/>
    </row>
    <row r="136" spans="1:9">
      <c r="A136" s="22"/>
      <c r="B136" s="4"/>
      <c r="C136" s="4"/>
      <c r="D136" s="4"/>
      <c r="E136" s="4"/>
      <c r="F136" s="4"/>
      <c r="G136" s="4"/>
      <c r="H136" s="4"/>
      <c r="I136" s="9"/>
    </row>
    <row r="137" spans="1:9">
      <c r="A137" s="23"/>
      <c r="B137" s="5"/>
      <c r="C137" s="5"/>
      <c r="D137" s="5"/>
      <c r="E137" s="5"/>
      <c r="F137" s="5"/>
      <c r="G137" s="5"/>
      <c r="H137" s="5"/>
      <c r="I137" s="10"/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69F-6C6A-4CA0-9605-E209C806AB72}">
  <dimension ref="A1:L52"/>
  <sheetViews>
    <sheetView topLeftCell="A17" workbookViewId="0">
      <selection activeCell="G51" sqref="G51"/>
    </sheetView>
  </sheetViews>
  <sheetFormatPr baseColWidth="10" defaultColWidth="11.42578125" defaultRowHeight="15"/>
  <cols>
    <col min="1" max="1" width="10.7109375" customWidth="1"/>
    <col min="2" max="3" width="10.7109375" style="13" customWidth="1"/>
    <col min="4" max="4" width="10.7109375" customWidth="1"/>
    <col min="7" max="7" width="15.42578125" bestFit="1" customWidth="1"/>
  </cols>
  <sheetData>
    <row r="1" spans="1:4">
      <c r="A1" t="s">
        <v>231</v>
      </c>
      <c r="B1" s="13" t="s">
        <v>232</v>
      </c>
      <c r="C1" s="13" t="s">
        <v>235</v>
      </c>
      <c r="D1" t="s">
        <v>233</v>
      </c>
    </row>
    <row r="2" spans="1:4">
      <c r="A2" s="12">
        <v>42887</v>
      </c>
      <c r="B2" s="13">
        <v>44.7</v>
      </c>
      <c r="D2" s="13">
        <f t="shared" ref="D2:D33" si="0">SUM(B2:C2)</f>
        <v>44.7</v>
      </c>
    </row>
    <row r="3" spans="1:4">
      <c r="A3" s="12">
        <v>42917</v>
      </c>
      <c r="B3" s="13">
        <v>44.7</v>
      </c>
      <c r="D3" s="13">
        <f t="shared" si="0"/>
        <v>44.7</v>
      </c>
    </row>
    <row r="4" spans="1:4">
      <c r="A4" s="12">
        <v>42948</v>
      </c>
      <c r="B4" s="13">
        <v>44.7</v>
      </c>
      <c r="D4" s="13">
        <f t="shared" si="0"/>
        <v>44.7</v>
      </c>
    </row>
    <row r="5" spans="1:4">
      <c r="A5" s="12">
        <v>42979</v>
      </c>
      <c r="B5" s="13">
        <v>44.7</v>
      </c>
      <c r="D5" s="13">
        <f t="shared" si="0"/>
        <v>44.7</v>
      </c>
    </row>
    <row r="6" spans="1:4">
      <c r="A6" s="12">
        <v>43009</v>
      </c>
      <c r="B6" s="13">
        <v>44.7</v>
      </c>
      <c r="D6" s="13">
        <f t="shared" si="0"/>
        <v>44.7</v>
      </c>
    </row>
    <row r="7" spans="1:4">
      <c r="A7" s="12">
        <v>43040</v>
      </c>
      <c r="B7" s="13">
        <v>44.7</v>
      </c>
      <c r="D7" s="13">
        <f t="shared" si="0"/>
        <v>44.7</v>
      </c>
    </row>
    <row r="8" spans="1:4">
      <c r="A8" s="12">
        <v>43070</v>
      </c>
      <c r="B8" s="13">
        <v>44.7</v>
      </c>
      <c r="D8" s="13">
        <f t="shared" si="0"/>
        <v>44.7</v>
      </c>
    </row>
    <row r="9" spans="1:4">
      <c r="A9" s="12">
        <v>43101</v>
      </c>
      <c r="B9" s="13">
        <v>44.7</v>
      </c>
      <c r="D9" s="13">
        <f t="shared" si="0"/>
        <v>44.7</v>
      </c>
    </row>
    <row r="10" spans="1:4">
      <c r="A10" s="12">
        <v>43132</v>
      </c>
      <c r="B10" s="13">
        <v>44.7</v>
      </c>
      <c r="D10" s="13">
        <f t="shared" si="0"/>
        <v>44.7</v>
      </c>
    </row>
    <row r="11" spans="1:4">
      <c r="A11" s="12">
        <v>43160</v>
      </c>
      <c r="B11" s="13">
        <v>44.7</v>
      </c>
      <c r="D11" s="13">
        <f t="shared" si="0"/>
        <v>44.7</v>
      </c>
    </row>
    <row r="12" spans="1:4">
      <c r="A12" s="12">
        <v>43191</v>
      </c>
      <c r="B12" s="13">
        <v>44.7</v>
      </c>
      <c r="D12" s="13">
        <f t="shared" si="0"/>
        <v>44.7</v>
      </c>
    </row>
    <row r="13" spans="1:4">
      <c r="A13" s="12">
        <v>43221</v>
      </c>
      <c r="B13" s="13">
        <v>44.7</v>
      </c>
      <c r="D13" s="13">
        <f t="shared" si="0"/>
        <v>44.7</v>
      </c>
    </row>
    <row r="14" spans="1:4">
      <c r="A14" s="12">
        <v>43252</v>
      </c>
      <c r="B14" s="13">
        <v>44.7</v>
      </c>
      <c r="D14" s="13">
        <f t="shared" si="0"/>
        <v>44.7</v>
      </c>
    </row>
    <row r="15" spans="1:4">
      <c r="A15" s="12">
        <v>43282</v>
      </c>
      <c r="B15" s="13">
        <v>44.7</v>
      </c>
      <c r="D15" s="13">
        <f t="shared" si="0"/>
        <v>44.7</v>
      </c>
    </row>
    <row r="16" spans="1:4">
      <c r="A16" s="12">
        <v>43313</v>
      </c>
      <c r="B16" s="13">
        <v>44.7</v>
      </c>
      <c r="D16" s="13">
        <f t="shared" si="0"/>
        <v>44.7</v>
      </c>
    </row>
    <row r="17" spans="1:12">
      <c r="A17" s="12">
        <v>43344</v>
      </c>
      <c r="B17" s="13">
        <v>44.7</v>
      </c>
      <c r="D17" s="13">
        <f t="shared" si="0"/>
        <v>44.7</v>
      </c>
    </row>
    <row r="18" spans="1:12">
      <c r="A18" s="12">
        <v>43374</v>
      </c>
      <c r="B18" s="13">
        <v>44.7</v>
      </c>
      <c r="D18" s="13">
        <f t="shared" si="0"/>
        <v>44.7</v>
      </c>
    </row>
    <row r="19" spans="1:12">
      <c r="A19" s="12">
        <v>43405</v>
      </c>
      <c r="B19" s="13">
        <v>44.7</v>
      </c>
      <c r="D19" s="13">
        <f t="shared" si="0"/>
        <v>44.7</v>
      </c>
      <c r="I19" t="s">
        <v>237</v>
      </c>
    </row>
    <row r="20" spans="1:12">
      <c r="A20" s="12">
        <v>43435</v>
      </c>
      <c r="B20" s="13">
        <v>44.7</v>
      </c>
      <c r="D20" s="13">
        <f t="shared" si="0"/>
        <v>44.7</v>
      </c>
      <c r="H20">
        <v>118.98</v>
      </c>
      <c r="I20">
        <v>56</v>
      </c>
    </row>
    <row r="21" spans="1:12">
      <c r="A21" s="12">
        <v>43466</v>
      </c>
      <c r="B21" s="13">
        <v>44.7</v>
      </c>
      <c r="D21" s="13">
        <f t="shared" si="0"/>
        <v>44.7</v>
      </c>
      <c r="H21" t="s">
        <v>238</v>
      </c>
      <c r="I21">
        <v>46</v>
      </c>
      <c r="K21" t="s">
        <v>239</v>
      </c>
      <c r="L21" s="13">
        <f>H20*I21/I20</f>
        <v>97.733571428571423</v>
      </c>
    </row>
    <row r="22" spans="1:12">
      <c r="A22" s="12">
        <v>43497</v>
      </c>
      <c r="B22" s="13">
        <v>44.7</v>
      </c>
      <c r="D22" s="13">
        <f t="shared" si="0"/>
        <v>44.7</v>
      </c>
    </row>
    <row r="23" spans="1:12">
      <c r="A23" s="12">
        <v>43525</v>
      </c>
      <c r="B23" s="13">
        <v>44.7</v>
      </c>
      <c r="D23" s="13">
        <f t="shared" si="0"/>
        <v>44.7</v>
      </c>
    </row>
    <row r="24" spans="1:12">
      <c r="A24" s="12">
        <v>43556</v>
      </c>
      <c r="B24" s="13">
        <v>44.7</v>
      </c>
      <c r="D24" s="13">
        <f t="shared" si="0"/>
        <v>44.7</v>
      </c>
      <c r="I24" t="s">
        <v>237</v>
      </c>
    </row>
    <row r="25" spans="1:12">
      <c r="A25" s="12">
        <v>43586</v>
      </c>
      <c r="B25" s="13">
        <v>44.7</v>
      </c>
      <c r="D25" s="13">
        <f t="shared" si="0"/>
        <v>44.7</v>
      </c>
      <c r="H25">
        <v>644.16999999999996</v>
      </c>
      <c r="I25">
        <v>333</v>
      </c>
    </row>
    <row r="26" spans="1:12">
      <c r="A26" s="12">
        <v>43617</v>
      </c>
      <c r="B26" s="13">
        <v>44.7</v>
      </c>
      <c r="D26" s="13">
        <f t="shared" si="0"/>
        <v>44.7</v>
      </c>
      <c r="H26" t="s">
        <v>238</v>
      </c>
      <c r="I26">
        <v>46</v>
      </c>
      <c r="K26" t="s">
        <v>239</v>
      </c>
      <c r="L26" s="13">
        <f>H25*I26/I25</f>
        <v>88.984444444444449</v>
      </c>
    </row>
    <row r="27" spans="1:12">
      <c r="A27" s="12">
        <v>43647</v>
      </c>
      <c r="B27" s="13">
        <v>44.7</v>
      </c>
      <c r="D27" s="13">
        <f t="shared" si="0"/>
        <v>44.7</v>
      </c>
    </row>
    <row r="28" spans="1:12">
      <c r="A28" s="12">
        <v>43678</v>
      </c>
      <c r="B28" s="13">
        <v>44.7</v>
      </c>
      <c r="D28" s="13">
        <f t="shared" si="0"/>
        <v>44.7</v>
      </c>
    </row>
    <row r="29" spans="1:12">
      <c r="A29" s="12">
        <v>43709</v>
      </c>
      <c r="B29" s="13">
        <v>44.7</v>
      </c>
      <c r="D29" s="13">
        <f t="shared" si="0"/>
        <v>44.7</v>
      </c>
    </row>
    <row r="30" spans="1:12">
      <c r="A30" s="12">
        <v>43739</v>
      </c>
      <c r="B30" s="13">
        <v>44.7</v>
      </c>
      <c r="D30" s="13">
        <f t="shared" si="0"/>
        <v>44.7</v>
      </c>
    </row>
    <row r="31" spans="1:12">
      <c r="A31" s="12">
        <v>43770</v>
      </c>
      <c r="B31" s="13">
        <v>44.7</v>
      </c>
      <c r="D31" s="13">
        <f t="shared" si="0"/>
        <v>44.7</v>
      </c>
      <c r="H31" t="s">
        <v>242</v>
      </c>
      <c r="I31" t="s">
        <v>243</v>
      </c>
    </row>
    <row r="32" spans="1:12">
      <c r="A32" s="12">
        <v>43800</v>
      </c>
      <c r="B32" s="13">
        <v>44.7</v>
      </c>
      <c r="D32" s="13">
        <f t="shared" si="0"/>
        <v>44.7</v>
      </c>
      <c r="H32" t="s">
        <v>240</v>
      </c>
      <c r="I32" t="s">
        <v>241</v>
      </c>
    </row>
    <row r="33" spans="1:10">
      <c r="A33" s="12">
        <v>43831</v>
      </c>
      <c r="B33" s="13">
        <v>44.7</v>
      </c>
      <c r="D33" s="13">
        <f t="shared" si="0"/>
        <v>44.7</v>
      </c>
      <c r="G33" t="s">
        <v>244</v>
      </c>
      <c r="H33" s="68">
        <f>H42/1.21</f>
        <v>531.76033057851237</v>
      </c>
      <c r="I33" s="14">
        <v>80</v>
      </c>
    </row>
    <row r="34" spans="1:10">
      <c r="A34" s="12">
        <v>43862</v>
      </c>
      <c r="B34" s="13">
        <v>44.7</v>
      </c>
      <c r="D34" s="13">
        <f t="shared" ref="D34:D51" si="1">SUM(B34:C34)</f>
        <v>44.7</v>
      </c>
      <c r="G34" t="s">
        <v>245</v>
      </c>
      <c r="H34" s="68"/>
      <c r="I34" s="14">
        <v>80</v>
      </c>
    </row>
    <row r="35" spans="1:10">
      <c r="A35" s="12">
        <v>43891</v>
      </c>
      <c r="B35" s="13">
        <v>44.7</v>
      </c>
      <c r="C35" s="13">
        <v>44.7</v>
      </c>
      <c r="D35" s="13">
        <f t="shared" si="1"/>
        <v>89.4</v>
      </c>
      <c r="G35" t="s">
        <v>246</v>
      </c>
      <c r="H35" s="68"/>
      <c r="I35" s="14">
        <v>80</v>
      </c>
    </row>
    <row r="36" spans="1:10">
      <c r="A36" s="12">
        <v>43922</v>
      </c>
      <c r="B36" s="13">
        <v>44.7</v>
      </c>
      <c r="D36" s="13">
        <f t="shared" si="1"/>
        <v>44.7</v>
      </c>
      <c r="G36" t="s">
        <v>247</v>
      </c>
      <c r="H36" s="68"/>
      <c r="I36" s="14">
        <v>120</v>
      </c>
    </row>
    <row r="37" spans="1:10">
      <c r="A37" s="12">
        <v>43952</v>
      </c>
      <c r="B37" s="13">
        <v>44.7</v>
      </c>
      <c r="D37" s="13">
        <f t="shared" si="1"/>
        <v>44.7</v>
      </c>
      <c r="G37" t="s">
        <v>249</v>
      </c>
      <c r="H37" s="68"/>
      <c r="I37" s="14">
        <v>24</v>
      </c>
    </row>
    <row r="38" spans="1:10">
      <c r="A38" s="12">
        <v>43983</v>
      </c>
      <c r="B38" s="13">
        <v>44.7</v>
      </c>
      <c r="D38" s="13">
        <f t="shared" si="1"/>
        <v>44.7</v>
      </c>
      <c r="G38" t="s">
        <v>250</v>
      </c>
      <c r="I38" s="14">
        <f>4*9.9</f>
        <v>39.6</v>
      </c>
    </row>
    <row r="39" spans="1:10">
      <c r="A39" s="12">
        <v>44013</v>
      </c>
      <c r="B39" s="13">
        <v>44.7</v>
      </c>
      <c r="D39" s="13">
        <f t="shared" si="1"/>
        <v>44.7</v>
      </c>
      <c r="I39" s="14"/>
    </row>
    <row r="40" spans="1:10">
      <c r="A40" s="12">
        <v>44044</v>
      </c>
      <c r="B40" s="13">
        <v>44.7</v>
      </c>
      <c r="C40" s="13">
        <v>13.5</v>
      </c>
      <c r="D40" s="13">
        <f t="shared" si="1"/>
        <v>58.2</v>
      </c>
      <c r="G40" t="s">
        <v>233</v>
      </c>
      <c r="H40" s="13">
        <f>H33</f>
        <v>531.76033057851237</v>
      </c>
      <c r="I40" s="14">
        <f>SUM(I33:I39)</f>
        <v>423.6</v>
      </c>
    </row>
    <row r="41" spans="1:10">
      <c r="A41" s="12">
        <v>44075</v>
      </c>
      <c r="B41" s="13">
        <v>44.7</v>
      </c>
      <c r="D41" s="13">
        <f t="shared" si="1"/>
        <v>44.7</v>
      </c>
      <c r="G41" t="s">
        <v>248</v>
      </c>
      <c r="H41" s="14">
        <f>H40*0.21</f>
        <v>111.6696694214876</v>
      </c>
      <c r="I41" s="14">
        <f>I40*0.21</f>
        <v>88.956000000000003</v>
      </c>
      <c r="J41" t="s">
        <v>251</v>
      </c>
    </row>
    <row r="42" spans="1:10">
      <c r="A42" s="12">
        <v>44105</v>
      </c>
      <c r="B42" s="13">
        <v>44.7</v>
      </c>
      <c r="D42" s="13">
        <f t="shared" si="1"/>
        <v>44.7</v>
      </c>
      <c r="H42" s="14">
        <v>643.42999999999995</v>
      </c>
      <c r="I42" s="13">
        <f>SUM(I40:I41)</f>
        <v>512.55600000000004</v>
      </c>
      <c r="J42" s="13">
        <f>H42-I42</f>
        <v>130.87399999999991</v>
      </c>
    </row>
    <row r="43" spans="1:10">
      <c r="A43" s="12">
        <v>44136</v>
      </c>
      <c r="B43" s="13">
        <v>44.7</v>
      </c>
      <c r="D43" s="13">
        <f t="shared" si="1"/>
        <v>44.7</v>
      </c>
    </row>
    <row r="44" spans="1:10">
      <c r="A44" s="12">
        <v>44166</v>
      </c>
      <c r="B44" s="13">
        <v>44.7</v>
      </c>
      <c r="D44" s="13">
        <f t="shared" si="1"/>
        <v>44.7</v>
      </c>
      <c r="I44" t="s">
        <v>252</v>
      </c>
      <c r="J44">
        <f>J42*12</f>
        <v>1570.4879999999989</v>
      </c>
    </row>
    <row r="45" spans="1:10">
      <c r="A45" s="12">
        <v>44197</v>
      </c>
      <c r="B45" s="13">
        <v>44.7</v>
      </c>
      <c r="D45" s="13">
        <f t="shared" si="1"/>
        <v>44.7</v>
      </c>
    </row>
    <row r="46" spans="1:10">
      <c r="A46" s="12">
        <v>44228</v>
      </c>
      <c r="B46" s="13">
        <v>44.7</v>
      </c>
      <c r="D46" s="13">
        <f t="shared" si="1"/>
        <v>44.7</v>
      </c>
    </row>
    <row r="47" spans="1:10">
      <c r="A47" s="12">
        <v>44256</v>
      </c>
      <c r="B47" s="13">
        <v>44.7</v>
      </c>
      <c r="D47" s="13">
        <f t="shared" si="1"/>
        <v>44.7</v>
      </c>
      <c r="I47">
        <f>I42*3</f>
        <v>1537.6680000000001</v>
      </c>
    </row>
    <row r="48" spans="1:10">
      <c r="A48" s="12">
        <v>44287</v>
      </c>
      <c r="B48" s="13">
        <v>44.7</v>
      </c>
      <c r="C48" s="13">
        <v>13.5</v>
      </c>
      <c r="D48" s="13">
        <f t="shared" si="1"/>
        <v>58.2</v>
      </c>
    </row>
    <row r="49" spans="1:4">
      <c r="A49" s="12">
        <v>44317</v>
      </c>
      <c r="B49" s="13">
        <v>44.7</v>
      </c>
      <c r="C49" s="13">
        <v>13.5</v>
      </c>
      <c r="D49" s="13">
        <f t="shared" si="1"/>
        <v>58.2</v>
      </c>
    </row>
    <row r="50" spans="1:4">
      <c r="A50" s="12">
        <v>44348</v>
      </c>
      <c r="B50" s="13">
        <v>44.7</v>
      </c>
      <c r="C50" s="13">
        <v>13.5</v>
      </c>
      <c r="D50" s="13">
        <f t="shared" si="1"/>
        <v>58.2</v>
      </c>
    </row>
    <row r="51" spans="1:4">
      <c r="A51" s="12">
        <v>44378</v>
      </c>
      <c r="B51" s="13">
        <v>44.7</v>
      </c>
      <c r="C51" s="13">
        <v>13.5</v>
      </c>
      <c r="D51" s="13">
        <f t="shared" si="1"/>
        <v>58.2</v>
      </c>
    </row>
    <row r="52" spans="1:4">
      <c r="C52" s="15" t="s">
        <v>236</v>
      </c>
      <c r="D52" s="16">
        <f>SUM(D2:D51)</f>
        <v>2347.2000000000003</v>
      </c>
    </row>
  </sheetData>
  <mergeCells count="1">
    <mergeCell ref="H33:H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COMUNIDADES</vt:lpstr>
      <vt:lpstr> COMUNIDADES 1</vt:lpstr>
      <vt:lpstr>REMESAS</vt:lpstr>
      <vt:lpstr>Hoja4</vt:lpstr>
      <vt:lpstr>Seg. Juntas</vt:lpstr>
      <vt:lpstr>E. C. </vt:lpstr>
      <vt:lpstr>Hoja1</vt:lpstr>
      <vt:lpstr>'Seg. Juntas'!posFin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Díaz Rodríguez</dc:creator>
  <cp:lastModifiedBy>Roberto Díaz Rodríguez</cp:lastModifiedBy>
  <dcterms:created xsi:type="dcterms:W3CDTF">2021-07-02T09:18:49Z</dcterms:created>
  <dcterms:modified xsi:type="dcterms:W3CDTF">2026-04-10T13:02:05Z</dcterms:modified>
</cp:coreProperties>
</file>